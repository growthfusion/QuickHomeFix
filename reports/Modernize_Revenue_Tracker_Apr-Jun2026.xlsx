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rnize — Revenue Tracker" sheetId="1" state="visible" r:id="rId1"/>
    <sheet name="Daily Lead Log" sheetId="2" state="visible" r:id="rId2"/>
    <sheet name="Invoic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mmm dd, yyyy"/>
  </numFmts>
  <fonts count="23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color rgb="00FFFFFF"/>
      <sz val="10"/>
    </font>
    <font>
      <name val="Calibri"/>
      <b val="1"/>
      <color rgb="00C9A84C"/>
      <sz val="12"/>
    </font>
    <font>
      <name val="Calibri"/>
      <b val="1"/>
      <color rgb="001F3864"/>
      <sz val="9"/>
    </font>
    <font>
      <name val="Calibri"/>
      <b val="1"/>
      <color rgb="002E5FA3"/>
      <sz val="11"/>
    </font>
    <font>
      <name val="Calibri"/>
      <b val="1"/>
      <color rgb="00FFFFFF"/>
      <sz val="10"/>
    </font>
    <font>
      <name val="Calibri"/>
      <b val="1"/>
      <color rgb="002E5FA3"/>
      <sz val="10"/>
    </font>
    <font>
      <name val="Calibri"/>
      <color rgb="001F3864"/>
      <sz val="10"/>
    </font>
    <font>
      <name val="Calibri"/>
      <b val="1"/>
      <color rgb="00833C00"/>
      <sz val="10"/>
    </font>
    <font>
      <name val="Calibri"/>
      <b val="1"/>
      <color rgb="001F3864"/>
      <sz val="10"/>
    </font>
    <font>
      <name val="Calibri"/>
      <b val="1"/>
      <color rgb="009C0006"/>
      <sz val="10"/>
    </font>
    <font>
      <name val="Calibri"/>
      <color rgb="00595959"/>
      <sz val="10"/>
    </font>
    <font>
      <name val="Calibri"/>
      <b val="1"/>
      <color rgb="00C9A84C"/>
      <sz val="11"/>
    </font>
    <font>
      <name val="Calibri"/>
      <i val="1"/>
      <color rgb="001F3864"/>
      <sz val="9"/>
    </font>
    <font>
      <name val="Calibri"/>
      <b val="1"/>
      <color rgb="00C9A84C"/>
      <sz val="10"/>
    </font>
    <font>
      <name val="Calibri"/>
      <b val="1"/>
      <color rgb="002E5FA3"/>
      <sz val="9"/>
    </font>
    <font>
      <name val="Calibri"/>
      <color rgb="001F3864"/>
      <sz val="9"/>
    </font>
    <font>
      <name val="Calibri"/>
      <b val="1"/>
      <color rgb="00833C00"/>
      <sz val="9"/>
    </font>
    <font>
      <name val="Calibri"/>
      <b val="1"/>
      <color rgb="00375623"/>
      <sz val="9"/>
    </font>
    <font>
      <name val="Calibri"/>
      <b val="1"/>
      <color rgb="009C0006"/>
      <sz val="9"/>
    </font>
    <font>
      <name val="Calibri"/>
      <b val="1"/>
      <color rgb="00C9A84C"/>
      <sz val="14"/>
    </font>
    <font>
      <name val="Calibri"/>
      <i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/>
    </xf>
    <xf numFmtId="3" fontId="13" fillId="2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4" fillId="4" borderId="0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17" fillId="6" borderId="1" applyAlignment="1" pivotButton="0" quotePrefix="0" xfId="0">
      <alignment horizontal="left" vertical="center"/>
    </xf>
    <xf numFmtId="0" fontId="0" fillId="0" borderId="5" pivotButton="0" quotePrefix="0" xfId="0"/>
    <xf numFmtId="0" fontId="18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165" fontId="17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164" fontId="17" fillId="5" borderId="1" applyAlignment="1" pivotButton="0" quotePrefix="0" xfId="0">
      <alignment horizontal="center" vertical="center"/>
    </xf>
    <xf numFmtId="165" fontId="17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164" fontId="17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2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6" customWidth="1" min="12" max="12"/>
    <col width="16" customWidth="1" min="13" max="13"/>
    <col width="16" customWidth="1" min="14" max="14"/>
    <col width="20" customWidth="1" min="15" max="15"/>
  </cols>
  <sheetData>
    <row r="1" ht="36" customHeight="1">
      <c r="A1" s="1" t="inlineStr">
        <is>
          <t>MODERNIZE  •  Monthly Revenue Tracker</t>
        </is>
      </c>
    </row>
    <row r="2" ht="18" customHeight="1">
      <c r="A2" s="2" t="inlineStr">
        <is>
          <t>Client: Modernize  |  GrowthFusion POC: Mukilan Moorthy  |  Period: Apr 1, 2026 – Jun 2, 2026  |  Last Updated: Jun 2, 2026</t>
        </is>
      </c>
    </row>
    <row r="3" ht="6" customHeight="1"/>
    <row r="4" ht="22" customHeight="1">
      <c r="A4" s="3" t="inlineStr">
        <is>
          <t>SUMMARY</t>
        </is>
      </c>
    </row>
    <row r="5" ht="30" customHeight="1">
      <c r="B5" s="4" t="inlineStr">
        <is>
          <t>Total Leads</t>
        </is>
      </c>
      <c r="C5" s="5">
        <f>SUM(E8:E10)</f>
        <v/>
      </c>
      <c r="D5" s="4" t="inlineStr">
        <is>
          <t>Total Revenue</t>
        </is>
      </c>
      <c r="E5" s="6">
        <f>SUM(H8:H10)</f>
        <v/>
      </c>
      <c r="F5" s="4" t="inlineStr">
        <is>
          <t>Avg CPL</t>
        </is>
      </c>
      <c r="G5" s="6">
        <f>IFERROR(D5/B5,0)</f>
        <v/>
      </c>
      <c r="H5" s="4" t="inlineStr">
        <is>
          <t>Invoiced</t>
        </is>
      </c>
      <c r="I5" s="6">
        <f>SUM(I8:I10)</f>
        <v/>
      </c>
      <c r="J5" s="4" t="inlineStr">
        <is>
          <t>Collected</t>
        </is>
      </c>
      <c r="K5" s="6">
        <f>SUM(J8:J10)</f>
        <v/>
      </c>
      <c r="L5" s="4" t="inlineStr">
        <is>
          <t>Outstanding</t>
        </is>
      </c>
      <c r="M5" s="6">
        <f>I5-J5</f>
        <v/>
      </c>
      <c r="N5" s="4" t="inlineStr">
        <is>
          <t>Months</t>
        </is>
      </c>
      <c r="O5" s="5" t="inlineStr">
        <is>
          <t>3</t>
        </is>
      </c>
    </row>
    <row r="6" ht="6" customHeight="1"/>
    <row r="7" ht="36" customHeight="1">
      <c r="A7" s="7" t="inlineStr">
        <is>
          <t>Month</t>
        </is>
      </c>
      <c r="B7" s="7" t="inlineStr">
        <is>
          <t>Period</t>
        </is>
      </c>
      <c r="C7" s="7" t="inlineStr">
        <is>
          <t>Days Active</t>
        </is>
      </c>
      <c r="D7" s="7" t="inlineStr">
        <is>
          <t>Status</t>
        </is>
      </c>
      <c r="E7" s="7" t="inlineStr">
        <is>
          <t>Leads
Delivered</t>
        </is>
      </c>
      <c r="F7" s="7" t="inlineStr">
        <is>
          <t>CPL
($/lead)</t>
        </is>
      </c>
      <c r="G7" s="7" t="inlineStr">
        <is>
          <t>Gross
Revenue ($)</t>
        </is>
      </c>
      <c r="H7" s="7" t="inlineStr">
        <is>
          <t>Adjustments
($)</t>
        </is>
      </c>
      <c r="I7" s="7" t="inlineStr">
        <is>
          <t>Net Invoice
Amount ($)</t>
        </is>
      </c>
      <c r="J7" s="7" t="inlineStr">
        <is>
          <t>Amount
Collected ($)</t>
        </is>
      </c>
      <c r="K7" s="7" t="inlineStr">
        <is>
          <t>Balance
Due ($)</t>
        </is>
      </c>
      <c r="L7" s="7" t="inlineStr">
        <is>
          <t>Invoice #</t>
        </is>
      </c>
      <c r="M7" s="7" t="inlineStr">
        <is>
          <t>Invoice Date</t>
        </is>
      </c>
      <c r="N7" s="7" t="inlineStr">
        <is>
          <t>Due Date</t>
        </is>
      </c>
      <c r="O7" s="7" t="inlineStr">
        <is>
          <t>Notes</t>
        </is>
      </c>
    </row>
    <row r="8" ht="28" customHeight="1">
      <c r="A8" s="8" t="inlineStr">
        <is>
          <t>April 2026</t>
        </is>
      </c>
      <c r="B8" s="9" t="inlineStr">
        <is>
          <t>Apr 1 – Apr 30</t>
        </is>
      </c>
      <c r="C8" s="10" t="n">
        <v>30</v>
      </c>
      <c r="D8" s="11" t="inlineStr">
        <is>
          <t>Pending Confirmation</t>
        </is>
      </c>
      <c r="E8" s="12" t="n"/>
      <c r="F8" s="13" t="n"/>
      <c r="G8" s="14">
        <f>IFERROR(E8*F8,0)</f>
        <v/>
      </c>
      <c r="H8" s="13" t="n"/>
      <c r="I8" s="15">
        <f>IFERROR(G8-H8,0)</f>
        <v/>
      </c>
      <c r="J8" s="13" t="n"/>
      <c r="K8" s="16">
        <f>IFERROR(I8-J8,0)</f>
        <v/>
      </c>
      <c r="L8" s="10" t="inlineStr">
        <is>
          <t>INV-MOD-001</t>
        </is>
      </c>
      <c r="M8" s="10" t="inlineStr">
        <is>
          <t>TBD</t>
        </is>
      </c>
      <c r="N8" s="10" t="inlineStr">
        <is>
          <t>TBD</t>
        </is>
      </c>
      <c r="O8" s="17" t="inlineStr">
        <is>
          <t>Awaiting lead confirmation email</t>
        </is>
      </c>
    </row>
    <row r="9" ht="28" customHeight="1">
      <c r="A9" s="18" t="inlineStr">
        <is>
          <t>May 2026</t>
        </is>
      </c>
      <c r="B9" s="19" t="inlineStr">
        <is>
          <t>May 1 – May 31</t>
        </is>
      </c>
      <c r="C9" s="20" t="n">
        <v>31</v>
      </c>
      <c r="D9" s="21" t="inlineStr">
        <is>
          <t>Pending Confirmation</t>
        </is>
      </c>
      <c r="E9" s="22" t="n"/>
      <c r="F9" s="23" t="n"/>
      <c r="G9" s="24">
        <f>IFERROR(E9*F9,0)</f>
        <v/>
      </c>
      <c r="H9" s="23" t="n"/>
      <c r="I9" s="25">
        <f>IFERROR(G9-H9,0)</f>
        <v/>
      </c>
      <c r="J9" s="23" t="n"/>
      <c r="K9" s="26">
        <f>IFERROR(I9-J9,0)</f>
        <v/>
      </c>
      <c r="L9" s="20" t="inlineStr">
        <is>
          <t>INV-MOD-002</t>
        </is>
      </c>
      <c r="M9" s="20" t="inlineStr">
        <is>
          <t>TBD</t>
        </is>
      </c>
      <c r="N9" s="20" t="inlineStr">
        <is>
          <t>TBD</t>
        </is>
      </c>
      <c r="O9" s="27" t="inlineStr">
        <is>
          <t>Awaiting lead confirmation email</t>
        </is>
      </c>
    </row>
    <row r="10" ht="28" customHeight="1">
      <c r="A10" s="8" t="inlineStr">
        <is>
          <t>June 2026
(Partial)</t>
        </is>
      </c>
      <c r="B10" s="9" t="inlineStr">
        <is>
          <t>Jun 1 – Jun 2</t>
        </is>
      </c>
      <c r="C10" s="10" t="n">
        <v>2</v>
      </c>
      <c r="D10" s="28" t="inlineStr">
        <is>
          <t>In Progress</t>
        </is>
      </c>
      <c r="E10" s="12" t="n"/>
      <c r="F10" s="13" t="n"/>
      <c r="G10" s="14">
        <f>IFERROR(E10*F10,0)</f>
        <v/>
      </c>
      <c r="H10" s="13" t="n"/>
      <c r="I10" s="15">
        <f>IFERROR(G10-H10,0)</f>
        <v/>
      </c>
      <c r="J10" s="13" t="n"/>
      <c r="K10" s="16">
        <f>IFERROR(I10-J10,0)</f>
        <v/>
      </c>
      <c r="L10" s="10" t="inlineStr">
        <is>
          <t>INV-MOD-003</t>
        </is>
      </c>
      <c r="M10" s="10" t="inlineStr">
        <is>
          <t>TBD</t>
        </is>
      </c>
      <c r="N10" s="10" t="inlineStr">
        <is>
          <t>TBD</t>
        </is>
      </c>
      <c r="O10" s="17" t="inlineStr">
        <is>
          <t>Awaiting lead confirmation email</t>
        </is>
      </c>
    </row>
    <row r="11" ht="24" customHeight="1">
      <c r="A11" s="29" t="inlineStr">
        <is>
          <t>TOTALS</t>
        </is>
      </c>
      <c r="E11" s="30">
        <f>SUM(E8:E10)</f>
        <v/>
      </c>
      <c r="F11" s="31">
        <f>IFERROR(G11/E11,0)</f>
        <v/>
      </c>
      <c r="G11" s="31">
        <f>SUM(G8:G10)</f>
        <v/>
      </c>
      <c r="H11" s="31">
        <f>SUM(H8:H10)</f>
        <v/>
      </c>
      <c r="I11" s="31">
        <f>SUM(I8:I10)</f>
        <v/>
      </c>
      <c r="J11" s="31">
        <f>SUM(J8:J10)</f>
        <v/>
      </c>
      <c r="K11" s="31">
        <f>SUM(K8:K10)</f>
        <v/>
      </c>
      <c r="L11" s="32" t="n"/>
      <c r="M11" s="32" t="n"/>
      <c r="N11" s="32" t="n"/>
      <c r="O11" s="32" t="n"/>
    </row>
    <row r="13" ht="18" customHeight="1">
      <c r="A13" s="33" t="inlineStr">
        <is>
          <t>HOW TO USE:  1) Fill in 'Leads Delivered' &amp; 'CPL' for each month after confirming with client.   2) Update 'Amount Collected' when payment is received.   3) Update Invoice # and dates when invoice is sent.   4) Change 'Status' to: Invoiced / Paid / Overdue.</t>
        </is>
      </c>
    </row>
    <row r="14" ht="6" customHeight="1"/>
    <row r="15" ht="18" customHeight="1">
      <c r="A15" s="34" t="inlineStr">
        <is>
          <t>STATUS KEY</t>
        </is>
      </c>
    </row>
    <row r="16" ht="16" customHeight="1">
      <c r="A16" s="35" t="inlineStr">
        <is>
          <t>In Progress</t>
        </is>
      </c>
      <c r="B16" s="36" t="n"/>
      <c r="C16" s="37" t="inlineStr">
        <is>
          <t>Current period — leads still accruing</t>
        </is>
      </c>
      <c r="D16" s="38" t="n"/>
      <c r="E16" s="38" t="n"/>
      <c r="F16" s="36" t="n"/>
    </row>
    <row r="17" ht="16" customHeight="1">
      <c r="A17" s="39" t="inlineStr">
        <is>
          <t>Pending Confirmation</t>
        </is>
      </c>
      <c r="B17" s="36" t="n"/>
      <c r="C17" s="37" t="inlineStr">
        <is>
          <t>Awaiting client sign-off on lead count</t>
        </is>
      </c>
      <c r="D17" s="38" t="n"/>
      <c r="E17" s="38" t="n"/>
      <c r="F17" s="36" t="n"/>
    </row>
    <row r="18" ht="16" customHeight="1">
      <c r="A18" s="4" t="inlineStr">
        <is>
          <t>Invoiced</t>
        </is>
      </c>
      <c r="B18" s="36" t="n"/>
      <c r="C18" s="37" t="inlineStr">
        <is>
          <t>Invoice sent; payment pending</t>
        </is>
      </c>
      <c r="D18" s="38" t="n"/>
      <c r="E18" s="38" t="n"/>
      <c r="F18" s="36" t="n"/>
    </row>
    <row r="19" ht="16" customHeight="1">
      <c r="A19" s="40" t="inlineStr">
        <is>
          <t>Paid</t>
        </is>
      </c>
      <c r="B19" s="36" t="n"/>
      <c r="C19" s="37" t="inlineStr">
        <is>
          <t>Payment received in full</t>
        </is>
      </c>
      <c r="D19" s="38" t="n"/>
      <c r="E19" s="38" t="n"/>
      <c r="F19" s="36" t="n"/>
    </row>
    <row r="20" ht="16" customHeight="1">
      <c r="A20" s="41" t="inlineStr">
        <is>
          <t>Overdue</t>
        </is>
      </c>
      <c r="B20" s="36" t="n"/>
      <c r="C20" s="37" t="inlineStr">
        <is>
          <t>Past due date; follow up required</t>
        </is>
      </c>
      <c r="D20" s="38" t="n"/>
      <c r="E20" s="38" t="n"/>
      <c r="F20" s="36" t="n"/>
    </row>
  </sheetData>
  <mergeCells count="16">
    <mergeCell ref="C18:F18"/>
    <mergeCell ref="A20:B20"/>
    <mergeCell ref="A16:B16"/>
    <mergeCell ref="C17:F17"/>
    <mergeCell ref="A2:O2"/>
    <mergeCell ref="A15:B15"/>
    <mergeCell ref="A19:B19"/>
    <mergeCell ref="C20:F20"/>
    <mergeCell ref="A13:O13"/>
    <mergeCell ref="A1:O1"/>
    <mergeCell ref="C16:F16"/>
    <mergeCell ref="A17:B17"/>
    <mergeCell ref="A11:D11"/>
    <mergeCell ref="A18:B18"/>
    <mergeCell ref="C19:F19"/>
    <mergeCell ref="A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24" customWidth="1" min="8" max="8"/>
  </cols>
  <sheetData>
    <row r="1" ht="30" customHeight="1">
      <c r="A1" s="42" t="inlineStr">
        <is>
          <t>MODERNIZE  •  Daily Lead Log  (Apr 1 – Jun 2, 2026)</t>
        </is>
      </c>
    </row>
    <row r="2" ht="16" customHeight="1">
      <c r="A2" s="43" t="inlineStr">
        <is>
          <t>Reference log — fill in daily lead count for detailed reconciliation with client</t>
        </is>
      </c>
    </row>
    <row r="3" ht="36" customHeight="1">
      <c r="A3" s="7" t="inlineStr">
        <is>
          <t>Date</t>
        </is>
      </c>
      <c r="B3" s="7" t="inlineStr">
        <is>
          <t>Month</t>
        </is>
      </c>
      <c r="C3" s="7" t="inlineStr">
        <is>
          <t>Leads
Delivered</t>
        </is>
      </c>
      <c r="D3" s="7" t="inlineStr">
        <is>
          <t>CPL ($)</t>
        </is>
      </c>
      <c r="E3" s="7" t="inlineStr">
        <is>
          <t>Daily Revenue ($)</t>
        </is>
      </c>
      <c r="F3" s="7" t="inlineStr">
        <is>
          <t>Cumulative
Revenue ($)</t>
        </is>
      </c>
      <c r="G3" s="7" t="inlineStr">
        <is>
          <t>Platform /
Source</t>
        </is>
      </c>
      <c r="H3" s="7" t="inlineStr">
        <is>
          <t>Notes</t>
        </is>
      </c>
    </row>
    <row r="4" ht="16" customHeight="1">
      <c r="A4" s="44" t="inlineStr">
        <is>
          <t>Apr 01, 2026</t>
        </is>
      </c>
      <c r="B4" s="45" t="inlineStr">
        <is>
          <t>April 2026</t>
        </is>
      </c>
      <c r="C4" s="45" t="n"/>
      <c r="D4" s="46" t="n"/>
      <c r="E4" s="46">
        <f>IFERROR(C4*D4,0)</f>
        <v/>
      </c>
      <c r="F4" s="46">
        <f>IFERROR(SUM($E$4:E4),0)</f>
        <v/>
      </c>
      <c r="G4" s="45" t="n"/>
      <c r="H4" s="45" t="n"/>
    </row>
    <row r="5" ht="16" customHeight="1">
      <c r="A5" s="47" t="inlineStr">
        <is>
          <t>Apr 02, 2026</t>
        </is>
      </c>
      <c r="B5" s="48" t="inlineStr">
        <is>
          <t>April 2026</t>
        </is>
      </c>
      <c r="C5" s="48" t="n"/>
      <c r="D5" s="49" t="n"/>
      <c r="E5" s="49">
        <f>IFERROR(C5*D5,0)</f>
        <v/>
      </c>
      <c r="F5" s="49">
        <f>IFERROR(SUM($E$4:E5),0)</f>
        <v/>
      </c>
      <c r="G5" s="48" t="n"/>
      <c r="H5" s="48" t="n"/>
    </row>
    <row r="6" ht="16" customHeight="1">
      <c r="A6" s="44" t="inlineStr">
        <is>
          <t>Apr 03, 2026</t>
        </is>
      </c>
      <c r="B6" s="45" t="inlineStr">
        <is>
          <t>April 2026</t>
        </is>
      </c>
      <c r="C6" s="45" t="n"/>
      <c r="D6" s="46" t="n"/>
      <c r="E6" s="46">
        <f>IFERROR(C6*D6,0)</f>
        <v/>
      </c>
      <c r="F6" s="46">
        <f>IFERROR(SUM($E$4:E6),0)</f>
        <v/>
      </c>
      <c r="G6" s="45" t="n"/>
      <c r="H6" s="45" t="n"/>
    </row>
    <row r="7" ht="16" customHeight="1">
      <c r="A7" s="47" t="inlineStr">
        <is>
          <t>Apr 04, 2026</t>
        </is>
      </c>
      <c r="B7" s="48" t="inlineStr">
        <is>
          <t>April 2026</t>
        </is>
      </c>
      <c r="C7" s="48" t="n"/>
      <c r="D7" s="49" t="n"/>
      <c r="E7" s="49">
        <f>IFERROR(C7*D7,0)</f>
        <v/>
      </c>
      <c r="F7" s="49">
        <f>IFERROR(SUM($E$4:E7),0)</f>
        <v/>
      </c>
      <c r="G7" s="48" t="n"/>
      <c r="H7" s="48" t="n"/>
    </row>
    <row r="8" ht="16" customHeight="1">
      <c r="A8" s="44" t="inlineStr">
        <is>
          <t>Apr 05, 2026</t>
        </is>
      </c>
      <c r="B8" s="45" t="inlineStr">
        <is>
          <t>April 2026</t>
        </is>
      </c>
      <c r="C8" s="45" t="n"/>
      <c r="D8" s="46" t="n"/>
      <c r="E8" s="46">
        <f>IFERROR(C8*D8,0)</f>
        <v/>
      </c>
      <c r="F8" s="46">
        <f>IFERROR(SUM($E$4:E8),0)</f>
        <v/>
      </c>
      <c r="G8" s="45" t="n"/>
      <c r="H8" s="45" t="n"/>
    </row>
    <row r="9" ht="16" customHeight="1">
      <c r="A9" s="47" t="inlineStr">
        <is>
          <t>Apr 06, 2026</t>
        </is>
      </c>
      <c r="B9" s="48" t="inlineStr">
        <is>
          <t>April 2026</t>
        </is>
      </c>
      <c r="C9" s="48" t="n"/>
      <c r="D9" s="49" t="n"/>
      <c r="E9" s="49">
        <f>IFERROR(C9*D9,0)</f>
        <v/>
      </c>
      <c r="F9" s="49">
        <f>IFERROR(SUM($E$4:E9),0)</f>
        <v/>
      </c>
      <c r="G9" s="48" t="n"/>
      <c r="H9" s="48" t="n"/>
    </row>
    <row r="10" ht="16" customHeight="1">
      <c r="A10" s="44" t="inlineStr">
        <is>
          <t>Apr 07, 2026</t>
        </is>
      </c>
      <c r="B10" s="45" t="inlineStr">
        <is>
          <t>April 2026</t>
        </is>
      </c>
      <c r="C10" s="45" t="n"/>
      <c r="D10" s="46" t="n"/>
      <c r="E10" s="46">
        <f>IFERROR(C10*D10,0)</f>
        <v/>
      </c>
      <c r="F10" s="46">
        <f>IFERROR(SUM($E$4:E10),0)</f>
        <v/>
      </c>
      <c r="G10" s="45" t="n"/>
      <c r="H10" s="45" t="n"/>
    </row>
    <row r="11" ht="16" customHeight="1">
      <c r="A11" s="47" t="inlineStr">
        <is>
          <t>Apr 08, 2026</t>
        </is>
      </c>
      <c r="B11" s="48" t="inlineStr">
        <is>
          <t>April 2026</t>
        </is>
      </c>
      <c r="C11" s="48" t="n"/>
      <c r="D11" s="49" t="n"/>
      <c r="E11" s="49">
        <f>IFERROR(C11*D11,0)</f>
        <v/>
      </c>
      <c r="F11" s="49">
        <f>IFERROR(SUM($E$4:E11),0)</f>
        <v/>
      </c>
      <c r="G11" s="48" t="n"/>
      <c r="H11" s="48" t="n"/>
    </row>
    <row r="12" ht="16" customHeight="1">
      <c r="A12" s="44" t="inlineStr">
        <is>
          <t>Apr 09, 2026</t>
        </is>
      </c>
      <c r="B12" s="45" t="inlineStr">
        <is>
          <t>April 2026</t>
        </is>
      </c>
      <c r="C12" s="45" t="n"/>
      <c r="D12" s="46" t="n"/>
      <c r="E12" s="46">
        <f>IFERROR(C12*D12,0)</f>
        <v/>
      </c>
      <c r="F12" s="46">
        <f>IFERROR(SUM($E$4:E12),0)</f>
        <v/>
      </c>
      <c r="G12" s="45" t="n"/>
      <c r="H12" s="45" t="n"/>
    </row>
    <row r="13" ht="16" customHeight="1">
      <c r="A13" s="47" t="inlineStr">
        <is>
          <t>Apr 10, 2026</t>
        </is>
      </c>
      <c r="B13" s="48" t="inlineStr">
        <is>
          <t>April 2026</t>
        </is>
      </c>
      <c r="C13" s="48" t="n"/>
      <c r="D13" s="49" t="n"/>
      <c r="E13" s="49">
        <f>IFERROR(C13*D13,0)</f>
        <v/>
      </c>
      <c r="F13" s="49">
        <f>IFERROR(SUM($E$4:E13),0)</f>
        <v/>
      </c>
      <c r="G13" s="48" t="n"/>
      <c r="H13" s="48" t="n"/>
    </row>
    <row r="14" ht="16" customHeight="1">
      <c r="A14" s="44" t="inlineStr">
        <is>
          <t>Apr 11, 2026</t>
        </is>
      </c>
      <c r="B14" s="45" t="inlineStr">
        <is>
          <t>April 2026</t>
        </is>
      </c>
      <c r="C14" s="45" t="n"/>
      <c r="D14" s="46" t="n"/>
      <c r="E14" s="46">
        <f>IFERROR(C14*D14,0)</f>
        <v/>
      </c>
      <c r="F14" s="46">
        <f>IFERROR(SUM($E$4:E14),0)</f>
        <v/>
      </c>
      <c r="G14" s="45" t="n"/>
      <c r="H14" s="45" t="n"/>
    </row>
    <row r="15" ht="16" customHeight="1">
      <c r="A15" s="47" t="inlineStr">
        <is>
          <t>Apr 12, 2026</t>
        </is>
      </c>
      <c r="B15" s="48" t="inlineStr">
        <is>
          <t>April 2026</t>
        </is>
      </c>
      <c r="C15" s="48" t="n"/>
      <c r="D15" s="49" t="n"/>
      <c r="E15" s="49">
        <f>IFERROR(C15*D15,0)</f>
        <v/>
      </c>
      <c r="F15" s="49">
        <f>IFERROR(SUM($E$4:E15),0)</f>
        <v/>
      </c>
      <c r="G15" s="48" t="n"/>
      <c r="H15" s="48" t="n"/>
    </row>
    <row r="16" ht="16" customHeight="1">
      <c r="A16" s="44" t="inlineStr">
        <is>
          <t>Apr 13, 2026</t>
        </is>
      </c>
      <c r="B16" s="45" t="inlineStr">
        <is>
          <t>April 2026</t>
        </is>
      </c>
      <c r="C16" s="45" t="n"/>
      <c r="D16" s="46" t="n"/>
      <c r="E16" s="46">
        <f>IFERROR(C16*D16,0)</f>
        <v/>
      </c>
      <c r="F16" s="46">
        <f>IFERROR(SUM($E$4:E16),0)</f>
        <v/>
      </c>
      <c r="G16" s="45" t="n"/>
      <c r="H16" s="45" t="n"/>
    </row>
    <row r="17" ht="16" customHeight="1">
      <c r="A17" s="47" t="inlineStr">
        <is>
          <t>Apr 14, 2026</t>
        </is>
      </c>
      <c r="B17" s="48" t="inlineStr">
        <is>
          <t>April 2026</t>
        </is>
      </c>
      <c r="C17" s="48" t="n"/>
      <c r="D17" s="49" t="n"/>
      <c r="E17" s="49">
        <f>IFERROR(C17*D17,0)</f>
        <v/>
      </c>
      <c r="F17" s="49">
        <f>IFERROR(SUM($E$4:E17),0)</f>
        <v/>
      </c>
      <c r="G17" s="48" t="n"/>
      <c r="H17" s="48" t="n"/>
    </row>
    <row r="18" ht="16" customHeight="1">
      <c r="A18" s="44" t="inlineStr">
        <is>
          <t>Apr 15, 2026</t>
        </is>
      </c>
      <c r="B18" s="45" t="inlineStr">
        <is>
          <t>April 2026</t>
        </is>
      </c>
      <c r="C18" s="45" t="n"/>
      <c r="D18" s="46" t="n"/>
      <c r="E18" s="46">
        <f>IFERROR(C18*D18,0)</f>
        <v/>
      </c>
      <c r="F18" s="46">
        <f>IFERROR(SUM($E$4:E18),0)</f>
        <v/>
      </c>
      <c r="G18" s="45" t="n"/>
      <c r="H18" s="45" t="n"/>
    </row>
    <row r="19" ht="16" customHeight="1">
      <c r="A19" s="47" t="inlineStr">
        <is>
          <t>Apr 16, 2026</t>
        </is>
      </c>
      <c r="B19" s="48" t="inlineStr">
        <is>
          <t>April 2026</t>
        </is>
      </c>
      <c r="C19" s="48" t="n"/>
      <c r="D19" s="49" t="n"/>
      <c r="E19" s="49">
        <f>IFERROR(C19*D19,0)</f>
        <v/>
      </c>
      <c r="F19" s="49">
        <f>IFERROR(SUM($E$4:E19),0)</f>
        <v/>
      </c>
      <c r="G19" s="48" t="n"/>
      <c r="H19" s="48" t="n"/>
    </row>
    <row r="20" ht="16" customHeight="1">
      <c r="A20" s="44" t="inlineStr">
        <is>
          <t>Apr 17, 2026</t>
        </is>
      </c>
      <c r="B20" s="45" t="inlineStr">
        <is>
          <t>April 2026</t>
        </is>
      </c>
      <c r="C20" s="45" t="n"/>
      <c r="D20" s="46" t="n"/>
      <c r="E20" s="46">
        <f>IFERROR(C20*D20,0)</f>
        <v/>
      </c>
      <c r="F20" s="46">
        <f>IFERROR(SUM($E$4:E20),0)</f>
        <v/>
      </c>
      <c r="G20" s="45" t="n"/>
      <c r="H20" s="45" t="n"/>
    </row>
    <row r="21" ht="16" customHeight="1">
      <c r="A21" s="47" t="inlineStr">
        <is>
          <t>Apr 18, 2026</t>
        </is>
      </c>
      <c r="B21" s="48" t="inlineStr">
        <is>
          <t>April 2026</t>
        </is>
      </c>
      <c r="C21" s="48" t="n"/>
      <c r="D21" s="49" t="n"/>
      <c r="E21" s="49">
        <f>IFERROR(C21*D21,0)</f>
        <v/>
      </c>
      <c r="F21" s="49">
        <f>IFERROR(SUM($E$4:E21),0)</f>
        <v/>
      </c>
      <c r="G21" s="48" t="n"/>
      <c r="H21" s="48" t="n"/>
    </row>
    <row r="22" ht="16" customHeight="1">
      <c r="A22" s="44" t="inlineStr">
        <is>
          <t>Apr 19, 2026</t>
        </is>
      </c>
      <c r="B22" s="45" t="inlineStr">
        <is>
          <t>April 2026</t>
        </is>
      </c>
      <c r="C22" s="45" t="n"/>
      <c r="D22" s="46" t="n"/>
      <c r="E22" s="46">
        <f>IFERROR(C22*D22,0)</f>
        <v/>
      </c>
      <c r="F22" s="46">
        <f>IFERROR(SUM($E$4:E22),0)</f>
        <v/>
      </c>
      <c r="G22" s="45" t="n"/>
      <c r="H22" s="45" t="n"/>
    </row>
    <row r="23" ht="16" customHeight="1">
      <c r="A23" s="47" t="inlineStr">
        <is>
          <t>Apr 20, 2026</t>
        </is>
      </c>
      <c r="B23" s="48" t="inlineStr">
        <is>
          <t>April 2026</t>
        </is>
      </c>
      <c r="C23" s="48" t="n"/>
      <c r="D23" s="49" t="n"/>
      <c r="E23" s="49">
        <f>IFERROR(C23*D23,0)</f>
        <v/>
      </c>
      <c r="F23" s="49">
        <f>IFERROR(SUM($E$4:E23),0)</f>
        <v/>
      </c>
      <c r="G23" s="48" t="n"/>
      <c r="H23" s="48" t="n"/>
    </row>
    <row r="24" ht="16" customHeight="1">
      <c r="A24" s="44" t="inlineStr">
        <is>
          <t>Apr 21, 2026</t>
        </is>
      </c>
      <c r="B24" s="45" t="inlineStr">
        <is>
          <t>April 2026</t>
        </is>
      </c>
      <c r="C24" s="45" t="n"/>
      <c r="D24" s="46" t="n"/>
      <c r="E24" s="46">
        <f>IFERROR(C24*D24,0)</f>
        <v/>
      </c>
      <c r="F24" s="46">
        <f>IFERROR(SUM($E$4:E24),0)</f>
        <v/>
      </c>
      <c r="G24" s="45" t="n"/>
      <c r="H24" s="45" t="n"/>
    </row>
    <row r="25" ht="16" customHeight="1">
      <c r="A25" s="47" t="inlineStr">
        <is>
          <t>Apr 22, 2026</t>
        </is>
      </c>
      <c r="B25" s="48" t="inlineStr">
        <is>
          <t>April 2026</t>
        </is>
      </c>
      <c r="C25" s="48" t="n"/>
      <c r="D25" s="49" t="n"/>
      <c r="E25" s="49">
        <f>IFERROR(C25*D25,0)</f>
        <v/>
      </c>
      <c r="F25" s="49">
        <f>IFERROR(SUM($E$4:E25),0)</f>
        <v/>
      </c>
      <c r="G25" s="48" t="n"/>
      <c r="H25" s="48" t="n"/>
    </row>
    <row r="26" ht="16" customHeight="1">
      <c r="A26" s="44" t="inlineStr">
        <is>
          <t>Apr 23, 2026</t>
        </is>
      </c>
      <c r="B26" s="45" t="inlineStr">
        <is>
          <t>April 2026</t>
        </is>
      </c>
      <c r="C26" s="45" t="n"/>
      <c r="D26" s="46" t="n"/>
      <c r="E26" s="46">
        <f>IFERROR(C26*D26,0)</f>
        <v/>
      </c>
      <c r="F26" s="46">
        <f>IFERROR(SUM($E$4:E26),0)</f>
        <v/>
      </c>
      <c r="G26" s="45" t="n"/>
      <c r="H26" s="45" t="n"/>
    </row>
    <row r="27" ht="16" customHeight="1">
      <c r="A27" s="47" t="inlineStr">
        <is>
          <t>Apr 24, 2026</t>
        </is>
      </c>
      <c r="B27" s="48" t="inlineStr">
        <is>
          <t>April 2026</t>
        </is>
      </c>
      <c r="C27" s="48" t="n"/>
      <c r="D27" s="49" t="n"/>
      <c r="E27" s="49">
        <f>IFERROR(C27*D27,0)</f>
        <v/>
      </c>
      <c r="F27" s="49">
        <f>IFERROR(SUM($E$4:E27),0)</f>
        <v/>
      </c>
      <c r="G27" s="48" t="n"/>
      <c r="H27" s="48" t="n"/>
    </row>
    <row r="28" ht="16" customHeight="1">
      <c r="A28" s="44" t="inlineStr">
        <is>
          <t>Apr 25, 2026</t>
        </is>
      </c>
      <c r="B28" s="45" t="inlineStr">
        <is>
          <t>April 2026</t>
        </is>
      </c>
      <c r="C28" s="45" t="n"/>
      <c r="D28" s="46" t="n"/>
      <c r="E28" s="46">
        <f>IFERROR(C28*D28,0)</f>
        <v/>
      </c>
      <c r="F28" s="46">
        <f>IFERROR(SUM($E$4:E28),0)</f>
        <v/>
      </c>
      <c r="G28" s="45" t="n"/>
      <c r="H28" s="45" t="n"/>
    </row>
    <row r="29" ht="16" customHeight="1">
      <c r="A29" s="47" t="inlineStr">
        <is>
          <t>Apr 26, 2026</t>
        </is>
      </c>
      <c r="B29" s="48" t="inlineStr">
        <is>
          <t>April 2026</t>
        </is>
      </c>
      <c r="C29" s="48" t="n"/>
      <c r="D29" s="49" t="n"/>
      <c r="E29" s="49">
        <f>IFERROR(C29*D29,0)</f>
        <v/>
      </c>
      <c r="F29" s="49">
        <f>IFERROR(SUM($E$4:E29),0)</f>
        <v/>
      </c>
      <c r="G29" s="48" t="n"/>
      <c r="H29" s="48" t="n"/>
    </row>
    <row r="30" ht="16" customHeight="1">
      <c r="A30" s="44" t="inlineStr">
        <is>
          <t>Apr 27, 2026</t>
        </is>
      </c>
      <c r="B30" s="45" t="inlineStr">
        <is>
          <t>April 2026</t>
        </is>
      </c>
      <c r="C30" s="45" t="n"/>
      <c r="D30" s="46" t="n"/>
      <c r="E30" s="46">
        <f>IFERROR(C30*D30,0)</f>
        <v/>
      </c>
      <c r="F30" s="46">
        <f>IFERROR(SUM($E$4:E30),0)</f>
        <v/>
      </c>
      <c r="G30" s="45" t="n"/>
      <c r="H30" s="45" t="n"/>
    </row>
    <row r="31" ht="16" customHeight="1">
      <c r="A31" s="47" t="inlineStr">
        <is>
          <t>Apr 28, 2026</t>
        </is>
      </c>
      <c r="B31" s="48" t="inlineStr">
        <is>
          <t>April 2026</t>
        </is>
      </c>
      <c r="C31" s="48" t="n"/>
      <c r="D31" s="49" t="n"/>
      <c r="E31" s="49">
        <f>IFERROR(C31*D31,0)</f>
        <v/>
      </c>
      <c r="F31" s="49">
        <f>IFERROR(SUM($E$4:E31),0)</f>
        <v/>
      </c>
      <c r="G31" s="48" t="n"/>
      <c r="H31" s="48" t="n"/>
    </row>
    <row r="32" ht="16" customHeight="1">
      <c r="A32" s="44" t="inlineStr">
        <is>
          <t>Apr 29, 2026</t>
        </is>
      </c>
      <c r="B32" s="45" t="inlineStr">
        <is>
          <t>April 2026</t>
        </is>
      </c>
      <c r="C32" s="45" t="n"/>
      <c r="D32" s="46" t="n"/>
      <c r="E32" s="46">
        <f>IFERROR(C32*D32,0)</f>
        <v/>
      </c>
      <c r="F32" s="46">
        <f>IFERROR(SUM($E$4:E32),0)</f>
        <v/>
      </c>
      <c r="G32" s="45" t="n"/>
      <c r="H32" s="45" t="n"/>
    </row>
    <row r="33" ht="16" customHeight="1">
      <c r="A33" s="47" t="inlineStr">
        <is>
          <t>Apr 30, 2026</t>
        </is>
      </c>
      <c r="B33" s="48" t="inlineStr">
        <is>
          <t>April 2026</t>
        </is>
      </c>
      <c r="C33" s="48" t="n"/>
      <c r="D33" s="49" t="n"/>
      <c r="E33" s="49">
        <f>IFERROR(C33*D33,0)</f>
        <v/>
      </c>
      <c r="F33" s="49">
        <f>IFERROR(SUM($E$4:E33),0)</f>
        <v/>
      </c>
      <c r="G33" s="48" t="n"/>
      <c r="H33" s="48" t="n"/>
    </row>
    <row r="34" ht="16" customHeight="1">
      <c r="A34" s="44" t="inlineStr">
        <is>
          <t>May 01, 2026</t>
        </is>
      </c>
      <c r="B34" s="45" t="inlineStr">
        <is>
          <t>May 2026</t>
        </is>
      </c>
      <c r="C34" s="45" t="n"/>
      <c r="D34" s="46" t="n"/>
      <c r="E34" s="46">
        <f>IFERROR(C34*D34,0)</f>
        <v/>
      </c>
      <c r="F34" s="46">
        <f>IFERROR(SUM($E$4:E34),0)</f>
        <v/>
      </c>
      <c r="G34" s="45" t="n"/>
      <c r="H34" s="45" t="n"/>
    </row>
    <row r="35" ht="16" customHeight="1">
      <c r="A35" s="47" t="inlineStr">
        <is>
          <t>May 02, 2026</t>
        </is>
      </c>
      <c r="B35" s="48" t="inlineStr">
        <is>
          <t>May 2026</t>
        </is>
      </c>
      <c r="C35" s="48" t="n"/>
      <c r="D35" s="49" t="n"/>
      <c r="E35" s="49">
        <f>IFERROR(C35*D35,0)</f>
        <v/>
      </c>
      <c r="F35" s="49">
        <f>IFERROR(SUM($E$4:E35),0)</f>
        <v/>
      </c>
      <c r="G35" s="48" t="n"/>
      <c r="H35" s="48" t="n"/>
    </row>
    <row r="36" ht="16" customHeight="1">
      <c r="A36" s="44" t="inlineStr">
        <is>
          <t>May 03, 2026</t>
        </is>
      </c>
      <c r="B36" s="45" t="inlineStr">
        <is>
          <t>May 2026</t>
        </is>
      </c>
      <c r="C36" s="45" t="n"/>
      <c r="D36" s="46" t="n"/>
      <c r="E36" s="46">
        <f>IFERROR(C36*D36,0)</f>
        <v/>
      </c>
      <c r="F36" s="46">
        <f>IFERROR(SUM($E$4:E36),0)</f>
        <v/>
      </c>
      <c r="G36" s="45" t="n"/>
      <c r="H36" s="45" t="n"/>
    </row>
    <row r="37" ht="16" customHeight="1">
      <c r="A37" s="47" t="inlineStr">
        <is>
          <t>May 04, 2026</t>
        </is>
      </c>
      <c r="B37" s="48" t="inlineStr">
        <is>
          <t>May 2026</t>
        </is>
      </c>
      <c r="C37" s="48" t="n"/>
      <c r="D37" s="49" t="n"/>
      <c r="E37" s="49">
        <f>IFERROR(C37*D37,0)</f>
        <v/>
      </c>
      <c r="F37" s="49">
        <f>IFERROR(SUM($E$4:E37),0)</f>
        <v/>
      </c>
      <c r="G37" s="48" t="n"/>
      <c r="H37" s="48" t="n"/>
    </row>
    <row r="38" ht="16" customHeight="1">
      <c r="A38" s="44" t="inlineStr">
        <is>
          <t>May 05, 2026</t>
        </is>
      </c>
      <c r="B38" s="45" t="inlineStr">
        <is>
          <t>May 2026</t>
        </is>
      </c>
      <c r="C38" s="45" t="n"/>
      <c r="D38" s="46" t="n"/>
      <c r="E38" s="46">
        <f>IFERROR(C38*D38,0)</f>
        <v/>
      </c>
      <c r="F38" s="46">
        <f>IFERROR(SUM($E$4:E38),0)</f>
        <v/>
      </c>
      <c r="G38" s="45" t="n"/>
      <c r="H38" s="45" t="n"/>
    </row>
    <row r="39" ht="16" customHeight="1">
      <c r="A39" s="47" t="inlineStr">
        <is>
          <t>May 06, 2026</t>
        </is>
      </c>
      <c r="B39" s="48" t="inlineStr">
        <is>
          <t>May 2026</t>
        </is>
      </c>
      <c r="C39" s="48" t="n"/>
      <c r="D39" s="49" t="n"/>
      <c r="E39" s="49">
        <f>IFERROR(C39*D39,0)</f>
        <v/>
      </c>
      <c r="F39" s="49">
        <f>IFERROR(SUM($E$4:E39),0)</f>
        <v/>
      </c>
      <c r="G39" s="48" t="n"/>
      <c r="H39" s="48" t="n"/>
    </row>
    <row r="40" ht="16" customHeight="1">
      <c r="A40" s="44" t="inlineStr">
        <is>
          <t>May 07, 2026</t>
        </is>
      </c>
      <c r="B40" s="45" t="inlineStr">
        <is>
          <t>May 2026</t>
        </is>
      </c>
      <c r="C40" s="45" t="n"/>
      <c r="D40" s="46" t="n"/>
      <c r="E40" s="46">
        <f>IFERROR(C40*D40,0)</f>
        <v/>
      </c>
      <c r="F40" s="46">
        <f>IFERROR(SUM($E$4:E40),0)</f>
        <v/>
      </c>
      <c r="G40" s="45" t="n"/>
      <c r="H40" s="45" t="n"/>
    </row>
    <row r="41" ht="16" customHeight="1">
      <c r="A41" s="47" t="inlineStr">
        <is>
          <t>May 08, 2026</t>
        </is>
      </c>
      <c r="B41" s="48" t="inlineStr">
        <is>
          <t>May 2026</t>
        </is>
      </c>
      <c r="C41" s="48" t="n"/>
      <c r="D41" s="49" t="n"/>
      <c r="E41" s="49">
        <f>IFERROR(C41*D41,0)</f>
        <v/>
      </c>
      <c r="F41" s="49">
        <f>IFERROR(SUM($E$4:E41),0)</f>
        <v/>
      </c>
      <c r="G41" s="48" t="n"/>
      <c r="H41" s="48" t="n"/>
    </row>
    <row r="42" ht="16" customHeight="1">
      <c r="A42" s="44" t="inlineStr">
        <is>
          <t>May 09, 2026</t>
        </is>
      </c>
      <c r="B42" s="45" t="inlineStr">
        <is>
          <t>May 2026</t>
        </is>
      </c>
      <c r="C42" s="45" t="n"/>
      <c r="D42" s="46" t="n"/>
      <c r="E42" s="46">
        <f>IFERROR(C42*D42,0)</f>
        <v/>
      </c>
      <c r="F42" s="46">
        <f>IFERROR(SUM($E$4:E42),0)</f>
        <v/>
      </c>
      <c r="G42" s="45" t="n"/>
      <c r="H42" s="45" t="n"/>
    </row>
    <row r="43" ht="16" customHeight="1">
      <c r="A43" s="47" t="inlineStr">
        <is>
          <t>May 10, 2026</t>
        </is>
      </c>
      <c r="B43" s="48" t="inlineStr">
        <is>
          <t>May 2026</t>
        </is>
      </c>
      <c r="C43" s="48" t="n"/>
      <c r="D43" s="49" t="n"/>
      <c r="E43" s="49">
        <f>IFERROR(C43*D43,0)</f>
        <v/>
      </c>
      <c r="F43" s="49">
        <f>IFERROR(SUM($E$4:E43),0)</f>
        <v/>
      </c>
      <c r="G43" s="48" t="n"/>
      <c r="H43" s="48" t="n"/>
    </row>
    <row r="44" ht="16" customHeight="1">
      <c r="A44" s="44" t="inlineStr">
        <is>
          <t>May 11, 2026</t>
        </is>
      </c>
      <c r="B44" s="45" t="inlineStr">
        <is>
          <t>May 2026</t>
        </is>
      </c>
      <c r="C44" s="45" t="n"/>
      <c r="D44" s="46" t="n"/>
      <c r="E44" s="46">
        <f>IFERROR(C44*D44,0)</f>
        <v/>
      </c>
      <c r="F44" s="46">
        <f>IFERROR(SUM($E$4:E44),0)</f>
        <v/>
      </c>
      <c r="G44" s="45" t="n"/>
      <c r="H44" s="45" t="n"/>
    </row>
    <row r="45" ht="16" customHeight="1">
      <c r="A45" s="47" t="inlineStr">
        <is>
          <t>May 12, 2026</t>
        </is>
      </c>
      <c r="B45" s="48" t="inlineStr">
        <is>
          <t>May 2026</t>
        </is>
      </c>
      <c r="C45" s="48" t="n"/>
      <c r="D45" s="49" t="n"/>
      <c r="E45" s="49">
        <f>IFERROR(C45*D45,0)</f>
        <v/>
      </c>
      <c r="F45" s="49">
        <f>IFERROR(SUM($E$4:E45),0)</f>
        <v/>
      </c>
      <c r="G45" s="48" t="n"/>
      <c r="H45" s="48" t="n"/>
    </row>
    <row r="46" ht="16" customHeight="1">
      <c r="A46" s="44" t="inlineStr">
        <is>
          <t>May 13, 2026</t>
        </is>
      </c>
      <c r="B46" s="45" t="inlineStr">
        <is>
          <t>May 2026</t>
        </is>
      </c>
      <c r="C46" s="45" t="n"/>
      <c r="D46" s="46" t="n"/>
      <c r="E46" s="46">
        <f>IFERROR(C46*D46,0)</f>
        <v/>
      </c>
      <c r="F46" s="46">
        <f>IFERROR(SUM($E$4:E46),0)</f>
        <v/>
      </c>
      <c r="G46" s="45" t="n"/>
      <c r="H46" s="45" t="n"/>
    </row>
    <row r="47" ht="16" customHeight="1">
      <c r="A47" s="47" t="inlineStr">
        <is>
          <t>May 14, 2026</t>
        </is>
      </c>
      <c r="B47" s="48" t="inlineStr">
        <is>
          <t>May 2026</t>
        </is>
      </c>
      <c r="C47" s="48" t="n"/>
      <c r="D47" s="49" t="n"/>
      <c r="E47" s="49">
        <f>IFERROR(C47*D47,0)</f>
        <v/>
      </c>
      <c r="F47" s="49">
        <f>IFERROR(SUM($E$4:E47),0)</f>
        <v/>
      </c>
      <c r="G47" s="48" t="n"/>
      <c r="H47" s="48" t="n"/>
    </row>
    <row r="48" ht="16" customHeight="1">
      <c r="A48" s="44" t="inlineStr">
        <is>
          <t>May 15, 2026</t>
        </is>
      </c>
      <c r="B48" s="45" t="inlineStr">
        <is>
          <t>May 2026</t>
        </is>
      </c>
      <c r="C48" s="45" t="n"/>
      <c r="D48" s="46" t="n"/>
      <c r="E48" s="46">
        <f>IFERROR(C48*D48,0)</f>
        <v/>
      </c>
      <c r="F48" s="46">
        <f>IFERROR(SUM($E$4:E48),0)</f>
        <v/>
      </c>
      <c r="G48" s="45" t="n"/>
      <c r="H48" s="45" t="n"/>
    </row>
    <row r="49" ht="16" customHeight="1">
      <c r="A49" s="47" t="inlineStr">
        <is>
          <t>May 16, 2026</t>
        </is>
      </c>
      <c r="B49" s="48" t="inlineStr">
        <is>
          <t>May 2026</t>
        </is>
      </c>
      <c r="C49" s="48" t="n"/>
      <c r="D49" s="49" t="n"/>
      <c r="E49" s="49">
        <f>IFERROR(C49*D49,0)</f>
        <v/>
      </c>
      <c r="F49" s="49">
        <f>IFERROR(SUM($E$4:E49),0)</f>
        <v/>
      </c>
      <c r="G49" s="48" t="n"/>
      <c r="H49" s="48" t="n"/>
    </row>
    <row r="50" ht="16" customHeight="1">
      <c r="A50" s="44" t="inlineStr">
        <is>
          <t>May 17, 2026</t>
        </is>
      </c>
      <c r="B50" s="45" t="inlineStr">
        <is>
          <t>May 2026</t>
        </is>
      </c>
      <c r="C50" s="45" t="n"/>
      <c r="D50" s="46" t="n"/>
      <c r="E50" s="46">
        <f>IFERROR(C50*D50,0)</f>
        <v/>
      </c>
      <c r="F50" s="46">
        <f>IFERROR(SUM($E$4:E50),0)</f>
        <v/>
      </c>
      <c r="G50" s="45" t="n"/>
      <c r="H50" s="45" t="n"/>
    </row>
    <row r="51" ht="16" customHeight="1">
      <c r="A51" s="47" t="inlineStr">
        <is>
          <t>May 18, 2026</t>
        </is>
      </c>
      <c r="B51" s="48" t="inlineStr">
        <is>
          <t>May 2026</t>
        </is>
      </c>
      <c r="C51" s="48" t="n"/>
      <c r="D51" s="49" t="n"/>
      <c r="E51" s="49">
        <f>IFERROR(C51*D51,0)</f>
        <v/>
      </c>
      <c r="F51" s="49">
        <f>IFERROR(SUM($E$4:E51),0)</f>
        <v/>
      </c>
      <c r="G51" s="48" t="n"/>
      <c r="H51" s="48" t="n"/>
    </row>
    <row r="52" ht="16" customHeight="1">
      <c r="A52" s="44" t="inlineStr">
        <is>
          <t>May 19, 2026</t>
        </is>
      </c>
      <c r="B52" s="45" t="inlineStr">
        <is>
          <t>May 2026</t>
        </is>
      </c>
      <c r="C52" s="45" t="n"/>
      <c r="D52" s="46" t="n"/>
      <c r="E52" s="46">
        <f>IFERROR(C52*D52,0)</f>
        <v/>
      </c>
      <c r="F52" s="46">
        <f>IFERROR(SUM($E$4:E52),0)</f>
        <v/>
      </c>
      <c r="G52" s="45" t="n"/>
      <c r="H52" s="45" t="n"/>
    </row>
    <row r="53" ht="16" customHeight="1">
      <c r="A53" s="47" t="inlineStr">
        <is>
          <t>May 20, 2026</t>
        </is>
      </c>
      <c r="B53" s="48" t="inlineStr">
        <is>
          <t>May 2026</t>
        </is>
      </c>
      <c r="C53" s="48" t="n"/>
      <c r="D53" s="49" t="n"/>
      <c r="E53" s="49">
        <f>IFERROR(C53*D53,0)</f>
        <v/>
      </c>
      <c r="F53" s="49">
        <f>IFERROR(SUM($E$4:E53),0)</f>
        <v/>
      </c>
      <c r="G53" s="48" t="n"/>
      <c r="H53" s="48" t="n"/>
    </row>
    <row r="54" ht="16" customHeight="1">
      <c r="A54" s="44" t="inlineStr">
        <is>
          <t>May 21, 2026</t>
        </is>
      </c>
      <c r="B54" s="45" t="inlineStr">
        <is>
          <t>May 2026</t>
        </is>
      </c>
      <c r="C54" s="45" t="n"/>
      <c r="D54" s="46" t="n"/>
      <c r="E54" s="46">
        <f>IFERROR(C54*D54,0)</f>
        <v/>
      </c>
      <c r="F54" s="46">
        <f>IFERROR(SUM($E$4:E54),0)</f>
        <v/>
      </c>
      <c r="G54" s="45" t="n"/>
      <c r="H54" s="45" t="n"/>
    </row>
    <row r="55" ht="16" customHeight="1">
      <c r="A55" s="47" t="inlineStr">
        <is>
          <t>May 22, 2026</t>
        </is>
      </c>
      <c r="B55" s="48" t="inlineStr">
        <is>
          <t>May 2026</t>
        </is>
      </c>
      <c r="C55" s="48" t="n"/>
      <c r="D55" s="49" t="n"/>
      <c r="E55" s="49">
        <f>IFERROR(C55*D55,0)</f>
        <v/>
      </c>
      <c r="F55" s="49">
        <f>IFERROR(SUM($E$4:E55),0)</f>
        <v/>
      </c>
      <c r="G55" s="48" t="n"/>
      <c r="H55" s="48" t="n"/>
    </row>
    <row r="56" ht="16" customHeight="1">
      <c r="A56" s="44" t="inlineStr">
        <is>
          <t>May 23, 2026</t>
        </is>
      </c>
      <c r="B56" s="45" t="inlineStr">
        <is>
          <t>May 2026</t>
        </is>
      </c>
      <c r="C56" s="45" t="n"/>
      <c r="D56" s="46" t="n"/>
      <c r="E56" s="46">
        <f>IFERROR(C56*D56,0)</f>
        <v/>
      </c>
      <c r="F56" s="46">
        <f>IFERROR(SUM($E$4:E56),0)</f>
        <v/>
      </c>
      <c r="G56" s="45" t="n"/>
      <c r="H56" s="45" t="n"/>
    </row>
    <row r="57" ht="16" customHeight="1">
      <c r="A57" s="47" t="inlineStr">
        <is>
          <t>May 24, 2026</t>
        </is>
      </c>
      <c r="B57" s="48" t="inlineStr">
        <is>
          <t>May 2026</t>
        </is>
      </c>
      <c r="C57" s="48" t="n"/>
      <c r="D57" s="49" t="n"/>
      <c r="E57" s="49">
        <f>IFERROR(C57*D57,0)</f>
        <v/>
      </c>
      <c r="F57" s="49">
        <f>IFERROR(SUM($E$4:E57),0)</f>
        <v/>
      </c>
      <c r="G57" s="48" t="n"/>
      <c r="H57" s="48" t="n"/>
    </row>
    <row r="58" ht="16" customHeight="1">
      <c r="A58" s="44" t="inlineStr">
        <is>
          <t>May 25, 2026</t>
        </is>
      </c>
      <c r="B58" s="45" t="inlineStr">
        <is>
          <t>May 2026</t>
        </is>
      </c>
      <c r="C58" s="45" t="n"/>
      <c r="D58" s="46" t="n"/>
      <c r="E58" s="46">
        <f>IFERROR(C58*D58,0)</f>
        <v/>
      </c>
      <c r="F58" s="46">
        <f>IFERROR(SUM($E$4:E58),0)</f>
        <v/>
      </c>
      <c r="G58" s="45" t="n"/>
      <c r="H58" s="45" t="n"/>
    </row>
    <row r="59" ht="16" customHeight="1">
      <c r="A59" s="47" t="inlineStr">
        <is>
          <t>May 26, 2026</t>
        </is>
      </c>
      <c r="B59" s="48" t="inlineStr">
        <is>
          <t>May 2026</t>
        </is>
      </c>
      <c r="C59" s="48" t="n"/>
      <c r="D59" s="49" t="n"/>
      <c r="E59" s="49">
        <f>IFERROR(C59*D59,0)</f>
        <v/>
      </c>
      <c r="F59" s="49">
        <f>IFERROR(SUM($E$4:E59),0)</f>
        <v/>
      </c>
      <c r="G59" s="48" t="n"/>
      <c r="H59" s="48" t="n"/>
    </row>
    <row r="60" ht="16" customHeight="1">
      <c r="A60" s="44" t="inlineStr">
        <is>
          <t>May 27, 2026</t>
        </is>
      </c>
      <c r="B60" s="45" t="inlineStr">
        <is>
          <t>May 2026</t>
        </is>
      </c>
      <c r="C60" s="45" t="n"/>
      <c r="D60" s="46" t="n"/>
      <c r="E60" s="46">
        <f>IFERROR(C60*D60,0)</f>
        <v/>
      </c>
      <c r="F60" s="46">
        <f>IFERROR(SUM($E$4:E60),0)</f>
        <v/>
      </c>
      <c r="G60" s="45" t="n"/>
      <c r="H60" s="45" t="n"/>
    </row>
    <row r="61" ht="16" customHeight="1">
      <c r="A61" s="47" t="inlineStr">
        <is>
          <t>May 28, 2026</t>
        </is>
      </c>
      <c r="B61" s="48" t="inlineStr">
        <is>
          <t>May 2026</t>
        </is>
      </c>
      <c r="C61" s="48" t="n"/>
      <c r="D61" s="49" t="n"/>
      <c r="E61" s="49">
        <f>IFERROR(C61*D61,0)</f>
        <v/>
      </c>
      <c r="F61" s="49">
        <f>IFERROR(SUM($E$4:E61),0)</f>
        <v/>
      </c>
      <c r="G61" s="48" t="n"/>
      <c r="H61" s="48" t="n"/>
    </row>
    <row r="62" ht="16" customHeight="1">
      <c r="A62" s="44" t="inlineStr">
        <is>
          <t>May 29, 2026</t>
        </is>
      </c>
      <c r="B62" s="45" t="inlineStr">
        <is>
          <t>May 2026</t>
        </is>
      </c>
      <c r="C62" s="45" t="n"/>
      <c r="D62" s="46" t="n"/>
      <c r="E62" s="46">
        <f>IFERROR(C62*D62,0)</f>
        <v/>
      </c>
      <c r="F62" s="46">
        <f>IFERROR(SUM($E$4:E62),0)</f>
        <v/>
      </c>
      <c r="G62" s="45" t="n"/>
      <c r="H62" s="45" t="n"/>
    </row>
    <row r="63" ht="16" customHeight="1">
      <c r="A63" s="47" t="inlineStr">
        <is>
          <t>May 30, 2026</t>
        </is>
      </c>
      <c r="B63" s="48" t="inlineStr">
        <is>
          <t>May 2026</t>
        </is>
      </c>
      <c r="C63" s="48" t="n"/>
      <c r="D63" s="49" t="n"/>
      <c r="E63" s="49">
        <f>IFERROR(C63*D63,0)</f>
        <v/>
      </c>
      <c r="F63" s="49">
        <f>IFERROR(SUM($E$4:E63),0)</f>
        <v/>
      </c>
      <c r="G63" s="48" t="n"/>
      <c r="H63" s="48" t="n"/>
    </row>
    <row r="64" ht="16" customHeight="1">
      <c r="A64" s="44" t="inlineStr">
        <is>
          <t>May 31, 2026</t>
        </is>
      </c>
      <c r="B64" s="45" t="inlineStr">
        <is>
          <t>May 2026</t>
        </is>
      </c>
      <c r="C64" s="45" t="n"/>
      <c r="D64" s="46" t="n"/>
      <c r="E64" s="46">
        <f>IFERROR(C64*D64,0)</f>
        <v/>
      </c>
      <c r="F64" s="46">
        <f>IFERROR(SUM($E$4:E64),0)</f>
        <v/>
      </c>
      <c r="G64" s="45" t="n"/>
      <c r="H64" s="45" t="n"/>
    </row>
    <row r="65" ht="16" customHeight="1">
      <c r="A65" s="47" t="inlineStr">
        <is>
          <t>Jun 01, 2026</t>
        </is>
      </c>
      <c r="B65" s="48" t="inlineStr">
        <is>
          <t>June 2026</t>
        </is>
      </c>
      <c r="C65" s="48" t="n"/>
      <c r="D65" s="49" t="n"/>
      <c r="E65" s="49">
        <f>IFERROR(C65*D65,0)</f>
        <v/>
      </c>
      <c r="F65" s="49">
        <f>IFERROR(SUM($E$4:E65),0)</f>
        <v/>
      </c>
      <c r="G65" s="48" t="n"/>
      <c r="H65" s="48" t="n"/>
    </row>
    <row r="66" ht="16" customHeight="1">
      <c r="A66" s="44" t="inlineStr">
        <is>
          <t>Jun 02, 2026</t>
        </is>
      </c>
      <c r="B66" s="45" t="inlineStr">
        <is>
          <t>June 2026</t>
        </is>
      </c>
      <c r="C66" s="45" t="n"/>
      <c r="D66" s="46" t="n"/>
      <c r="E66" s="46">
        <f>IFERROR(C66*D66,0)</f>
        <v/>
      </c>
      <c r="F66" s="46">
        <f>IFERROR(SUM($E$4:E66),0)</f>
        <v/>
      </c>
      <c r="G66" s="45" t="n"/>
      <c r="H66" s="45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 ht="30" customHeight="1">
      <c r="A1" s="42" t="inlineStr">
        <is>
          <t>MODERNIZE  •  Invoice &amp; Payment Log</t>
        </is>
      </c>
    </row>
    <row r="2" ht="8" customHeight="1"/>
    <row r="3" ht="32" customHeight="1">
      <c r="A3" s="7" t="inlineStr">
        <is>
          <t>Invoice #</t>
        </is>
      </c>
      <c r="B3" s="7" t="inlineStr">
        <is>
          <t>Period Covered</t>
        </is>
      </c>
      <c r="C3" s="7" t="inlineStr">
        <is>
          <t>Invoice Date</t>
        </is>
      </c>
      <c r="D3" s="7" t="inlineStr">
        <is>
          <t>Due Date</t>
        </is>
      </c>
      <c r="E3" s="7" t="inlineStr">
        <is>
          <t>Leads
Billed</t>
        </is>
      </c>
      <c r="F3" s="7" t="inlineStr">
        <is>
          <t>CPL ($)</t>
        </is>
      </c>
      <c r="G3" s="7" t="inlineStr">
        <is>
          <t>Invoice
Amount ($)</t>
        </is>
      </c>
      <c r="H3" s="7" t="inlineStr">
        <is>
          <t>Amount
Paid ($)</t>
        </is>
      </c>
      <c r="I3" s="7" t="inlineStr">
        <is>
          <t>Balance
Due ($)</t>
        </is>
      </c>
      <c r="J3" s="7" t="inlineStr">
        <is>
          <t>Status</t>
        </is>
      </c>
    </row>
    <row r="4" ht="22" customHeight="1">
      <c r="A4" s="50" t="inlineStr">
        <is>
          <t>INV-MOD-001</t>
        </is>
      </c>
      <c r="B4" s="10" t="inlineStr">
        <is>
          <t>Apr 1 – Apr 30, 2026</t>
        </is>
      </c>
      <c r="C4" s="10" t="inlineStr">
        <is>
          <t>TBD</t>
        </is>
      </c>
      <c r="D4" s="10" t="inlineStr">
        <is>
          <t>TBD</t>
        </is>
      </c>
      <c r="E4" s="12" t="n"/>
      <c r="F4" s="13" t="n"/>
      <c r="G4" s="51">
        <f>IFERROR(E4*F4,0)</f>
        <v/>
      </c>
      <c r="H4" s="13" t="n"/>
      <c r="I4" s="51">
        <f>IFERROR(G4-H4,0)</f>
        <v/>
      </c>
      <c r="J4" s="50" t="inlineStr">
        <is>
          <t>Pending Confirmation</t>
        </is>
      </c>
    </row>
    <row r="5" ht="22" customHeight="1">
      <c r="A5" s="52" t="inlineStr">
        <is>
          <t>INV-MOD-002</t>
        </is>
      </c>
      <c r="B5" s="20" t="inlineStr">
        <is>
          <t>May 1 – May 31, 2026</t>
        </is>
      </c>
      <c r="C5" s="20" t="inlineStr">
        <is>
          <t>TBD</t>
        </is>
      </c>
      <c r="D5" s="20" t="inlineStr">
        <is>
          <t>TBD</t>
        </is>
      </c>
      <c r="E5" s="22" t="n"/>
      <c r="F5" s="23" t="n"/>
      <c r="G5" s="53">
        <f>IFERROR(E5*F5,0)</f>
        <v/>
      </c>
      <c r="H5" s="23" t="n"/>
      <c r="I5" s="53">
        <f>IFERROR(G5-H5,0)</f>
        <v/>
      </c>
      <c r="J5" s="52" t="inlineStr">
        <is>
          <t>Pending Confirmation</t>
        </is>
      </c>
    </row>
    <row r="6" ht="22" customHeight="1">
      <c r="A6" s="50" t="inlineStr">
        <is>
          <t>INV-MOD-003</t>
        </is>
      </c>
      <c r="B6" s="10" t="inlineStr">
        <is>
          <t>Jun 1 – Jun 2, 2026</t>
        </is>
      </c>
      <c r="C6" s="10" t="inlineStr">
        <is>
          <t>TBD</t>
        </is>
      </c>
      <c r="D6" s="10" t="inlineStr">
        <is>
          <t>TBD</t>
        </is>
      </c>
      <c r="E6" s="12" t="n"/>
      <c r="F6" s="13" t="n"/>
      <c r="G6" s="51">
        <f>IFERROR(E6*F6,0)</f>
        <v/>
      </c>
      <c r="H6" s="13" t="n"/>
      <c r="I6" s="51">
        <f>IFERROR(G6-H6,0)</f>
        <v/>
      </c>
      <c r="J6" s="50" t="inlineStr">
        <is>
          <t>In Progress</t>
        </is>
      </c>
    </row>
    <row r="7" ht="22" customHeight="1">
      <c r="A7" s="29" t="inlineStr">
        <is>
          <t>TOTALS</t>
        </is>
      </c>
      <c r="E7" s="30">
        <f>SUM(E4:E6)</f>
        <v/>
      </c>
      <c r="F7" s="32" t="n"/>
      <c r="G7" s="31">
        <f>SUM(G4:G6)</f>
        <v/>
      </c>
      <c r="H7" s="31">
        <f>SUM(H4:H6)</f>
        <v/>
      </c>
      <c r="I7" s="31">
        <f>SUM(I4:I6)</f>
        <v/>
      </c>
      <c r="J7" s="32" t="n"/>
    </row>
  </sheetData>
  <mergeCells count="2">
    <mergeCell ref="A1:J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2026-06-02T06:18:42Z</dcterms:created>
  <dcterms:modified xsi:type="dcterms:W3CDTF">2026-06-02T06:18:42Z</dcterms:modified>
</cp:coreProperties>
</file>