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Daily" sheetId="2" state="visible" r:id="rId2"/>
    <sheet name="Lead Disposition" sheetId="3" state="visible" r:id="rId3"/>
    <sheet name="Invoice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23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i val="1"/>
      <color rgb="00FFFFFF"/>
      <sz val="9"/>
    </font>
    <font>
      <name val="Calibri"/>
      <b val="1"/>
      <color rgb="00C9A84C"/>
      <sz val="11"/>
    </font>
    <font>
      <name val="Calibri"/>
      <b val="1"/>
      <color rgb="001F3864"/>
      <sz val="9"/>
    </font>
    <font>
      <name val="Calibri"/>
      <b val="1"/>
      <color rgb="002E5FA3"/>
      <sz val="12"/>
    </font>
    <font>
      <name val="Calibri"/>
      <b val="1"/>
      <color rgb="00FFFFFF"/>
      <sz val="10"/>
    </font>
    <font>
      <name val="Calibri"/>
      <b val="1"/>
      <color rgb="002E5FA3"/>
      <sz val="10"/>
    </font>
    <font>
      <name val="Calibri"/>
      <color rgb="001F3864"/>
      <sz val="10"/>
    </font>
    <font>
      <name val="Calibri"/>
      <color rgb="009C0006"/>
      <sz val="10"/>
    </font>
    <font>
      <name val="Calibri"/>
      <b val="1"/>
      <color rgb="00375623"/>
      <sz val="10"/>
    </font>
    <font>
      <name val="Calibri"/>
      <b val="1"/>
      <color rgb="001F3864"/>
      <sz val="10"/>
    </font>
    <font>
      <name val="Calibri"/>
      <color rgb="00833C00"/>
      <sz val="10"/>
    </font>
    <font>
      <name val="Calibri"/>
      <color rgb="002E5FA3"/>
      <sz val="10"/>
    </font>
    <font>
      <name val="Calibri"/>
      <i val="1"/>
      <color rgb="001F3864"/>
      <sz val="9"/>
    </font>
    <font>
      <name val="Calibri"/>
      <b val="1"/>
      <color rgb="00C9A84C"/>
      <sz val="13"/>
    </font>
    <font>
      <name val="Calibri"/>
      <color rgb="001F3864"/>
      <sz val="9"/>
    </font>
    <font>
      <name val="Calibri"/>
      <color rgb="009C0006"/>
      <sz val="9"/>
    </font>
    <font>
      <name val="Calibri"/>
      <color rgb="00375623"/>
      <sz val="9"/>
    </font>
    <font>
      <name val="Calibri"/>
      <b val="1"/>
      <color rgb="002E5FA3"/>
      <sz val="9"/>
    </font>
    <font>
      <name val="Calibri"/>
      <b val="1"/>
      <color rgb="00375623"/>
      <sz val="9"/>
    </font>
    <font>
      <name val="Calibri"/>
      <b val="1"/>
      <color rgb="009C0006"/>
      <sz val="9"/>
    </font>
    <font>
      <name val="Calibri"/>
      <b val="1"/>
      <color rgb="00833C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4" fillId="4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3" fontId="17" fillId="5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5" fontId="19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3" fontId="17" fillId="6" borderId="1" applyAlignment="1" pivotButton="0" quotePrefix="0" xfId="0">
      <alignment horizontal="center" vertical="center"/>
    </xf>
    <xf numFmtId="164" fontId="18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5" fontId="19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  <col width="22" customWidth="1" min="16" max="16"/>
  </cols>
  <sheetData>
    <row r="1" ht="36" customHeight="1">
      <c r="A1" s="1" t="inlineStr">
        <is>
          <t>MODERNIZE  •  Lead &amp; Revenue Tracker  |  Apr 1 – Jun 2, 2026</t>
        </is>
      </c>
    </row>
    <row r="2" ht="16" customHeight="1">
      <c r="A2" s="2" t="inlineStr">
        <is>
          <t>GrowthFusion POC: Mukilan Moorthy  |  Last Updated: Jun 2, 2026  |  Status: Pending Client Confirmation</t>
        </is>
      </c>
    </row>
    <row r="3" ht="8" customHeight="1"/>
    <row r="4" ht="20" customHeight="1">
      <c r="A4" s="3" t="inlineStr">
        <is>
          <t>OVERVIEW</t>
        </is>
      </c>
    </row>
    <row r="5" ht="36" customHeight="1">
      <c r="B5" s="4" t="inlineStr">
        <is>
          <t>Total
Leads Sent</t>
        </is>
      </c>
      <c r="C5" s="5">
        <f>SUM(Daily!C3:C65)</f>
        <v/>
      </c>
      <c r="D5" s="4" t="inlineStr">
        <is>
          <t>Total
Accepted</t>
        </is>
      </c>
      <c r="E5" s="5">
        <f>SUM(Daily!E3:E65)</f>
        <v/>
      </c>
      <c r="F5" s="4" t="inlineStr">
        <is>
          <t>Total
Rejected</t>
        </is>
      </c>
      <c r="G5" s="5">
        <f>SUM(Daily!G3:G65)</f>
        <v/>
      </c>
      <c r="H5" s="4" t="inlineStr">
        <is>
          <t>Acceptance
Rate</t>
        </is>
      </c>
      <c r="I5" s="6">
        <f>IFERROR(E5/C5,0)</f>
        <v/>
      </c>
      <c r="J5" s="4" t="inlineStr">
        <is>
          <t>Total
Revenue ($)</t>
        </is>
      </c>
      <c r="K5" s="7">
        <f>SUM(Daily!I3:I65)</f>
        <v/>
      </c>
      <c r="L5" s="4" t="inlineStr">
        <is>
          <t>Avg CPL
($/lead)</t>
        </is>
      </c>
      <c r="M5" s="7">
        <f>IFERROR(K5/E5,0)</f>
        <v/>
      </c>
      <c r="N5" s="4" t="inlineStr">
        <is>
          <t>Months
Tracked</t>
        </is>
      </c>
      <c r="O5" s="5" t="n">
        <v>3</v>
      </c>
    </row>
    <row r="6" ht="8" customHeight="1"/>
    <row r="7" ht="40" customHeight="1">
      <c r="A7" s="8" t="inlineStr"/>
      <c r="B7" s="8" t="inlineStr">
        <is>
          <t>Month</t>
        </is>
      </c>
      <c r="C7" s="8" t="inlineStr">
        <is>
          <t>Period</t>
        </is>
      </c>
      <c r="D7" s="8" t="inlineStr">
        <is>
          <t>Days
Active</t>
        </is>
      </c>
      <c r="E7" s="8" t="inlineStr">
        <is>
          <t>Leads
Submitted</t>
        </is>
      </c>
      <c r="F7" s="8" t="inlineStr">
        <is>
          <t>Leads
Accepted</t>
        </is>
      </c>
      <c r="G7" s="8" t="inlineStr">
        <is>
          <t>Leads
Rejected</t>
        </is>
      </c>
      <c r="H7" s="8" t="inlineStr">
        <is>
          <t>Acceptance
Rate</t>
        </is>
      </c>
      <c r="I7" s="8" t="inlineStr">
        <is>
          <t>CPL
($/lead)</t>
        </is>
      </c>
      <c r="J7" s="8" t="inlineStr">
        <is>
          <t>Gross Revenue
($)</t>
        </is>
      </c>
      <c r="K7" s="8" t="inlineStr">
        <is>
          <t>Adjustments
($)</t>
        </is>
      </c>
      <c r="L7" s="8" t="inlineStr">
        <is>
          <t>Net Revenue
($)</t>
        </is>
      </c>
      <c r="M7" s="8" t="inlineStr">
        <is>
          <t>Invoice #</t>
        </is>
      </c>
      <c r="N7" s="8" t="inlineStr">
        <is>
          <t>Invoice
Date</t>
        </is>
      </c>
      <c r="O7" s="8" t="inlineStr">
        <is>
          <t>Due Date</t>
        </is>
      </c>
      <c r="P7" s="8" t="inlineStr">
        <is>
          <t>Status / Notes</t>
        </is>
      </c>
    </row>
    <row r="8" ht="30" customHeight="1">
      <c r="A8" s="9" t="n">
        <v>1</v>
      </c>
      <c r="B8" s="10" t="inlineStr">
        <is>
          <t>April 2026</t>
        </is>
      </c>
      <c r="C8" s="11" t="inlineStr">
        <is>
          <t>Apr 1–Apr 30</t>
        </is>
      </c>
      <c r="D8" s="12" t="n">
        <v>30</v>
      </c>
      <c r="E8" s="13" t="n"/>
      <c r="F8" s="13" t="n"/>
      <c r="G8" s="14">
        <f>IFERROR(E8-F8,0)</f>
        <v/>
      </c>
      <c r="H8" s="15">
        <f>IFERROR(F8/E8,0)</f>
        <v/>
      </c>
      <c r="I8" s="16" t="n"/>
      <c r="J8" s="17">
        <f>IFERROR(F8*I8,0)</f>
        <v/>
      </c>
      <c r="K8" s="16" t="n"/>
      <c r="L8" s="18">
        <f>IFERROR(J8-K8,0)</f>
        <v/>
      </c>
      <c r="M8" s="12" t="inlineStr">
        <is>
          <t>INV-MOD-001</t>
        </is>
      </c>
      <c r="N8" s="12" t="inlineStr">
        <is>
          <t>TBD</t>
        </is>
      </c>
      <c r="O8" s="12" t="inlineStr">
        <is>
          <t>TBD</t>
        </is>
      </c>
      <c r="P8" s="19" t="inlineStr">
        <is>
          <t>Awaiting Client Confirmation</t>
        </is>
      </c>
    </row>
    <row r="9" ht="30" customHeight="1">
      <c r="A9" s="20" t="n">
        <v>2</v>
      </c>
      <c r="B9" s="21" t="inlineStr">
        <is>
          <t>May 2026</t>
        </is>
      </c>
      <c r="C9" s="22" t="inlineStr">
        <is>
          <t>May 1–May 31</t>
        </is>
      </c>
      <c r="D9" s="23" t="n">
        <v>31</v>
      </c>
      <c r="E9" s="24" t="n"/>
      <c r="F9" s="24" t="n"/>
      <c r="G9" s="25">
        <f>IFERROR(E9-F9,0)</f>
        <v/>
      </c>
      <c r="H9" s="26">
        <f>IFERROR(F9/E9,0)</f>
        <v/>
      </c>
      <c r="I9" s="27" t="n"/>
      <c r="J9" s="28">
        <f>IFERROR(F9*I9,0)</f>
        <v/>
      </c>
      <c r="K9" s="27" t="n"/>
      <c r="L9" s="29">
        <f>IFERROR(J9-K9,0)</f>
        <v/>
      </c>
      <c r="M9" s="23" t="inlineStr">
        <is>
          <t>INV-MOD-002</t>
        </is>
      </c>
      <c r="N9" s="23" t="inlineStr">
        <is>
          <t>TBD</t>
        </is>
      </c>
      <c r="O9" s="23" t="inlineStr">
        <is>
          <t>TBD</t>
        </is>
      </c>
      <c r="P9" s="30" t="inlineStr">
        <is>
          <t>Awaiting Client Confirmation</t>
        </is>
      </c>
    </row>
    <row r="10" ht="30" customHeight="1">
      <c r="A10" s="9" t="n">
        <v>3</v>
      </c>
      <c r="B10" s="10" t="inlineStr">
        <is>
          <t>June 2026
(Partial)</t>
        </is>
      </c>
      <c r="C10" s="11" t="inlineStr">
        <is>
          <t>Jun 1–Jun 2</t>
        </is>
      </c>
      <c r="D10" s="12" t="n">
        <v>2</v>
      </c>
      <c r="E10" s="13" t="n"/>
      <c r="F10" s="13" t="n"/>
      <c r="G10" s="14">
        <f>IFERROR(E10-F10,0)</f>
        <v/>
      </c>
      <c r="H10" s="15">
        <f>IFERROR(F10/E10,0)</f>
        <v/>
      </c>
      <c r="I10" s="16" t="n"/>
      <c r="J10" s="17">
        <f>IFERROR(F10*I10,0)</f>
        <v/>
      </c>
      <c r="K10" s="16" t="n"/>
      <c r="L10" s="18">
        <f>IFERROR(J10-K10,0)</f>
        <v/>
      </c>
      <c r="M10" s="12" t="inlineStr">
        <is>
          <t>INV-MOD-003</t>
        </is>
      </c>
      <c r="N10" s="12" t="inlineStr">
        <is>
          <t>TBD</t>
        </is>
      </c>
      <c r="O10" s="12" t="inlineStr">
        <is>
          <t>TBD</t>
        </is>
      </c>
      <c r="P10" s="31" t="inlineStr">
        <is>
          <t>In Progress</t>
        </is>
      </c>
    </row>
    <row r="11" ht="24" customHeight="1">
      <c r="A11" s="32" t="inlineStr">
        <is>
          <t>TOTALS</t>
        </is>
      </c>
      <c r="E11" s="33">
        <f>SUM(E8:E10)</f>
        <v/>
      </c>
      <c r="F11" s="33">
        <f>SUM(F8:F10)</f>
        <v/>
      </c>
      <c r="G11" s="33">
        <f>SUM(G8:G10)</f>
        <v/>
      </c>
      <c r="H11" s="34">
        <f>IFERROR(F11/E11,0)</f>
        <v/>
      </c>
      <c r="I11" s="35">
        <f>IFERROR(J11/F11,0)</f>
        <v/>
      </c>
      <c r="J11" s="35">
        <f>SUM(J8:J10)</f>
        <v/>
      </c>
      <c r="K11" s="35">
        <f>SUM(K8:K10)</f>
        <v/>
      </c>
      <c r="L11" s="35">
        <f>SUM(L8:L10)</f>
        <v/>
      </c>
      <c r="M11" s="36" t="n"/>
      <c r="N11" s="36" t="n"/>
      <c r="O11" s="36" t="n"/>
      <c r="P11" s="36" t="n"/>
    </row>
    <row r="13" ht="20" customHeight="1">
      <c r="A13" s="37" t="inlineStr">
        <is>
          <t>HOW TO USE:  Fill 'Leads Submitted', 'Leads Accepted', and 'CPL' for each month after confirming with Modernize.  Rejected, Rate, and Revenue calculate automatically.  Update Invoice # and Status when invoices are sent.</t>
        </is>
      </c>
    </row>
  </sheetData>
  <mergeCells count="5">
    <mergeCell ref="A13:P13"/>
    <mergeCell ref="A1:P1"/>
    <mergeCell ref="A4:P4"/>
    <mergeCell ref="A11:D1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14" customWidth="1" min="10" max="10"/>
    <col width="24" customWidth="1" min="11" max="11"/>
  </cols>
  <sheetData>
    <row r="1" ht="28" customHeight="1">
      <c r="A1" s="38" t="inlineStr">
        <is>
          <t>MODERNIZE  •  Daily Lead Log  |  Apr 1 – Jun 2, 2026</t>
        </is>
      </c>
    </row>
    <row r="2" ht="36" customHeight="1">
      <c r="A2" s="8" t="inlineStr">
        <is>
          <t>Date</t>
        </is>
      </c>
      <c r="B2" s="8" t="inlineStr">
        <is>
          <t>Month</t>
        </is>
      </c>
      <c r="C2" s="8" t="inlineStr">
        <is>
          <t>Leads
Submitted</t>
        </is>
      </c>
      <c r="D2" s="8" t="inlineStr">
        <is>
          <t>Leads
Accepted</t>
        </is>
      </c>
      <c r="E2" s="8" t="inlineStr">
        <is>
          <t>Leads
Rejected</t>
        </is>
      </c>
      <c r="F2" s="8" t="inlineStr">
        <is>
          <t>Acceptance
Rate</t>
        </is>
      </c>
      <c r="G2" s="8" t="inlineStr">
        <is>
          <t>CPL ($)</t>
        </is>
      </c>
      <c r="H2" s="8" t="inlineStr">
        <is>
          <t>Daily Revenue
($)</t>
        </is>
      </c>
      <c r="I2" s="8" t="inlineStr">
        <is>
          <t>Cumulative
Revenue ($)</t>
        </is>
      </c>
      <c r="J2" s="8" t="inlineStr">
        <is>
          <t>Source /
Platform</t>
        </is>
      </c>
      <c r="K2" s="8" t="inlineStr">
        <is>
          <t>Notes</t>
        </is>
      </c>
    </row>
    <row r="3" ht="16" customHeight="1">
      <c r="A3" s="39" t="inlineStr">
        <is>
          <t>Apr 01, 2026</t>
        </is>
      </c>
      <c r="B3" s="39" t="inlineStr">
        <is>
          <t>April 2026</t>
        </is>
      </c>
      <c r="C3" s="39" t="n"/>
      <c r="D3" s="39" t="n"/>
      <c r="E3" s="40">
        <f>IFERROR(C3-D3,0)</f>
        <v/>
      </c>
      <c r="F3" s="41">
        <f>IFERROR(D3/C3,0)</f>
        <v/>
      </c>
      <c r="G3" s="42" t="n"/>
      <c r="H3" s="43">
        <f>IFERROR(D3*G3,0)</f>
        <v/>
      </c>
      <c r="I3" s="44">
        <f>IFERROR(SUM($H$3:H3),0)</f>
        <v/>
      </c>
      <c r="J3" s="39" t="n"/>
      <c r="K3" s="39" t="n"/>
    </row>
    <row r="4" ht="16" customHeight="1">
      <c r="A4" s="45" t="inlineStr">
        <is>
          <t>Apr 02, 2026</t>
        </is>
      </c>
      <c r="B4" s="45" t="inlineStr">
        <is>
          <t>April 2026</t>
        </is>
      </c>
      <c r="C4" s="45" t="n"/>
      <c r="D4" s="45" t="n"/>
      <c r="E4" s="46">
        <f>IFERROR(C4-D4,0)</f>
        <v/>
      </c>
      <c r="F4" s="47">
        <f>IFERROR(D4/C4,0)</f>
        <v/>
      </c>
      <c r="G4" s="48" t="n"/>
      <c r="H4" s="49">
        <f>IFERROR(D4*G4,0)</f>
        <v/>
      </c>
      <c r="I4" s="50">
        <f>IFERROR(SUM($H$3:H4),0)</f>
        <v/>
      </c>
      <c r="J4" s="45" t="n"/>
      <c r="K4" s="45" t="n"/>
    </row>
    <row r="5" ht="16" customHeight="1">
      <c r="A5" s="39" t="inlineStr">
        <is>
          <t>Apr 03, 2026</t>
        </is>
      </c>
      <c r="B5" s="39" t="inlineStr">
        <is>
          <t>April 2026</t>
        </is>
      </c>
      <c r="C5" s="39" t="n"/>
      <c r="D5" s="39" t="n"/>
      <c r="E5" s="40">
        <f>IFERROR(C5-D5,0)</f>
        <v/>
      </c>
      <c r="F5" s="41">
        <f>IFERROR(D5/C5,0)</f>
        <v/>
      </c>
      <c r="G5" s="42" t="n"/>
      <c r="H5" s="43">
        <f>IFERROR(D5*G5,0)</f>
        <v/>
      </c>
      <c r="I5" s="44">
        <f>IFERROR(SUM($H$3:H5),0)</f>
        <v/>
      </c>
      <c r="J5" s="39" t="n"/>
      <c r="K5" s="39" t="n"/>
    </row>
    <row r="6" ht="16" customHeight="1">
      <c r="A6" s="45" t="inlineStr">
        <is>
          <t>Apr 04, 2026</t>
        </is>
      </c>
      <c r="B6" s="45" t="inlineStr">
        <is>
          <t>April 2026</t>
        </is>
      </c>
      <c r="C6" s="45" t="n"/>
      <c r="D6" s="45" t="n"/>
      <c r="E6" s="46">
        <f>IFERROR(C6-D6,0)</f>
        <v/>
      </c>
      <c r="F6" s="47">
        <f>IFERROR(D6/C6,0)</f>
        <v/>
      </c>
      <c r="G6" s="48" t="n"/>
      <c r="H6" s="49">
        <f>IFERROR(D6*G6,0)</f>
        <v/>
      </c>
      <c r="I6" s="50">
        <f>IFERROR(SUM($H$3:H6),0)</f>
        <v/>
      </c>
      <c r="J6" s="45" t="n"/>
      <c r="K6" s="45" t="n"/>
    </row>
    <row r="7" ht="16" customHeight="1">
      <c r="A7" s="39" t="inlineStr">
        <is>
          <t>Apr 05, 2026</t>
        </is>
      </c>
      <c r="B7" s="39" t="inlineStr">
        <is>
          <t>April 2026</t>
        </is>
      </c>
      <c r="C7" s="39" t="n"/>
      <c r="D7" s="39" t="n"/>
      <c r="E7" s="40">
        <f>IFERROR(C7-D7,0)</f>
        <v/>
      </c>
      <c r="F7" s="41">
        <f>IFERROR(D7/C7,0)</f>
        <v/>
      </c>
      <c r="G7" s="42" t="n"/>
      <c r="H7" s="43">
        <f>IFERROR(D7*G7,0)</f>
        <v/>
      </c>
      <c r="I7" s="44">
        <f>IFERROR(SUM($H$3:H7),0)</f>
        <v/>
      </c>
      <c r="J7" s="39" t="n"/>
      <c r="K7" s="39" t="n"/>
    </row>
    <row r="8" ht="16" customHeight="1">
      <c r="A8" s="45" t="inlineStr">
        <is>
          <t>Apr 06, 2026</t>
        </is>
      </c>
      <c r="B8" s="45" t="inlineStr">
        <is>
          <t>April 2026</t>
        </is>
      </c>
      <c r="C8" s="45" t="n"/>
      <c r="D8" s="45" t="n"/>
      <c r="E8" s="46">
        <f>IFERROR(C8-D8,0)</f>
        <v/>
      </c>
      <c r="F8" s="47">
        <f>IFERROR(D8/C8,0)</f>
        <v/>
      </c>
      <c r="G8" s="48" t="n"/>
      <c r="H8" s="49">
        <f>IFERROR(D8*G8,0)</f>
        <v/>
      </c>
      <c r="I8" s="50">
        <f>IFERROR(SUM($H$3:H8),0)</f>
        <v/>
      </c>
      <c r="J8" s="45" t="n"/>
      <c r="K8" s="45" t="n"/>
    </row>
    <row r="9" ht="16" customHeight="1">
      <c r="A9" s="39" t="inlineStr">
        <is>
          <t>Apr 07, 2026</t>
        </is>
      </c>
      <c r="B9" s="39" t="inlineStr">
        <is>
          <t>April 2026</t>
        </is>
      </c>
      <c r="C9" s="39" t="n"/>
      <c r="D9" s="39" t="n"/>
      <c r="E9" s="40">
        <f>IFERROR(C9-D9,0)</f>
        <v/>
      </c>
      <c r="F9" s="41">
        <f>IFERROR(D9/C9,0)</f>
        <v/>
      </c>
      <c r="G9" s="42" t="n"/>
      <c r="H9" s="43">
        <f>IFERROR(D9*G9,0)</f>
        <v/>
      </c>
      <c r="I9" s="44">
        <f>IFERROR(SUM($H$3:H9),0)</f>
        <v/>
      </c>
      <c r="J9" s="39" t="n"/>
      <c r="K9" s="39" t="n"/>
    </row>
    <row r="10" ht="16" customHeight="1">
      <c r="A10" s="45" t="inlineStr">
        <is>
          <t>Apr 08, 2026</t>
        </is>
      </c>
      <c r="B10" s="45" t="inlineStr">
        <is>
          <t>April 2026</t>
        </is>
      </c>
      <c r="C10" s="45" t="n"/>
      <c r="D10" s="45" t="n"/>
      <c r="E10" s="46">
        <f>IFERROR(C10-D10,0)</f>
        <v/>
      </c>
      <c r="F10" s="47">
        <f>IFERROR(D10/C10,0)</f>
        <v/>
      </c>
      <c r="G10" s="48" t="n"/>
      <c r="H10" s="49">
        <f>IFERROR(D10*G10,0)</f>
        <v/>
      </c>
      <c r="I10" s="50">
        <f>IFERROR(SUM($H$3:H10),0)</f>
        <v/>
      </c>
      <c r="J10" s="45" t="n"/>
      <c r="K10" s="45" t="n"/>
    </row>
    <row r="11" ht="16" customHeight="1">
      <c r="A11" s="39" t="inlineStr">
        <is>
          <t>Apr 09, 2026</t>
        </is>
      </c>
      <c r="B11" s="39" t="inlineStr">
        <is>
          <t>April 2026</t>
        </is>
      </c>
      <c r="C11" s="39" t="n"/>
      <c r="D11" s="39" t="n"/>
      <c r="E11" s="40">
        <f>IFERROR(C11-D11,0)</f>
        <v/>
      </c>
      <c r="F11" s="41">
        <f>IFERROR(D11/C11,0)</f>
        <v/>
      </c>
      <c r="G11" s="42" t="n"/>
      <c r="H11" s="43">
        <f>IFERROR(D11*G11,0)</f>
        <v/>
      </c>
      <c r="I11" s="44">
        <f>IFERROR(SUM($H$3:H11),0)</f>
        <v/>
      </c>
      <c r="J11" s="39" t="n"/>
      <c r="K11" s="39" t="n"/>
    </row>
    <row r="12" ht="16" customHeight="1">
      <c r="A12" s="45" t="inlineStr">
        <is>
          <t>Apr 10, 2026</t>
        </is>
      </c>
      <c r="B12" s="45" t="inlineStr">
        <is>
          <t>April 2026</t>
        </is>
      </c>
      <c r="C12" s="45" t="n"/>
      <c r="D12" s="45" t="n"/>
      <c r="E12" s="46">
        <f>IFERROR(C12-D12,0)</f>
        <v/>
      </c>
      <c r="F12" s="47">
        <f>IFERROR(D12/C12,0)</f>
        <v/>
      </c>
      <c r="G12" s="48" t="n"/>
      <c r="H12" s="49">
        <f>IFERROR(D12*G12,0)</f>
        <v/>
      </c>
      <c r="I12" s="50">
        <f>IFERROR(SUM($H$3:H12),0)</f>
        <v/>
      </c>
      <c r="J12" s="45" t="n"/>
      <c r="K12" s="45" t="n"/>
    </row>
    <row r="13" ht="16" customHeight="1">
      <c r="A13" s="39" t="inlineStr">
        <is>
          <t>Apr 11, 2026</t>
        </is>
      </c>
      <c r="B13" s="39" t="inlineStr">
        <is>
          <t>April 2026</t>
        </is>
      </c>
      <c r="C13" s="39" t="n"/>
      <c r="D13" s="39" t="n"/>
      <c r="E13" s="40">
        <f>IFERROR(C13-D13,0)</f>
        <v/>
      </c>
      <c r="F13" s="41">
        <f>IFERROR(D13/C13,0)</f>
        <v/>
      </c>
      <c r="G13" s="42" t="n"/>
      <c r="H13" s="43">
        <f>IFERROR(D13*G13,0)</f>
        <v/>
      </c>
      <c r="I13" s="44">
        <f>IFERROR(SUM($H$3:H13),0)</f>
        <v/>
      </c>
      <c r="J13" s="39" t="n"/>
      <c r="K13" s="39" t="n"/>
    </row>
    <row r="14" ht="16" customHeight="1">
      <c r="A14" s="45" t="inlineStr">
        <is>
          <t>Apr 12, 2026</t>
        </is>
      </c>
      <c r="B14" s="45" t="inlineStr">
        <is>
          <t>April 2026</t>
        </is>
      </c>
      <c r="C14" s="45" t="n"/>
      <c r="D14" s="45" t="n"/>
      <c r="E14" s="46">
        <f>IFERROR(C14-D14,0)</f>
        <v/>
      </c>
      <c r="F14" s="47">
        <f>IFERROR(D14/C14,0)</f>
        <v/>
      </c>
      <c r="G14" s="48" t="n"/>
      <c r="H14" s="49">
        <f>IFERROR(D14*G14,0)</f>
        <v/>
      </c>
      <c r="I14" s="50">
        <f>IFERROR(SUM($H$3:H14),0)</f>
        <v/>
      </c>
      <c r="J14" s="45" t="n"/>
      <c r="K14" s="45" t="n"/>
    </row>
    <row r="15" ht="16" customHeight="1">
      <c r="A15" s="39" t="inlineStr">
        <is>
          <t>Apr 13, 2026</t>
        </is>
      </c>
      <c r="B15" s="39" t="inlineStr">
        <is>
          <t>April 2026</t>
        </is>
      </c>
      <c r="C15" s="39" t="n"/>
      <c r="D15" s="39" t="n"/>
      <c r="E15" s="40">
        <f>IFERROR(C15-D15,0)</f>
        <v/>
      </c>
      <c r="F15" s="41">
        <f>IFERROR(D15/C15,0)</f>
        <v/>
      </c>
      <c r="G15" s="42" t="n"/>
      <c r="H15" s="43">
        <f>IFERROR(D15*G15,0)</f>
        <v/>
      </c>
      <c r="I15" s="44">
        <f>IFERROR(SUM($H$3:H15),0)</f>
        <v/>
      </c>
      <c r="J15" s="39" t="n"/>
      <c r="K15" s="39" t="n"/>
    </row>
    <row r="16" ht="16" customHeight="1">
      <c r="A16" s="45" t="inlineStr">
        <is>
          <t>Apr 14, 2026</t>
        </is>
      </c>
      <c r="B16" s="45" t="inlineStr">
        <is>
          <t>April 2026</t>
        </is>
      </c>
      <c r="C16" s="45" t="n"/>
      <c r="D16" s="45" t="n"/>
      <c r="E16" s="46">
        <f>IFERROR(C16-D16,0)</f>
        <v/>
      </c>
      <c r="F16" s="47">
        <f>IFERROR(D16/C16,0)</f>
        <v/>
      </c>
      <c r="G16" s="48" t="n"/>
      <c r="H16" s="49">
        <f>IFERROR(D16*G16,0)</f>
        <v/>
      </c>
      <c r="I16" s="50">
        <f>IFERROR(SUM($H$3:H16),0)</f>
        <v/>
      </c>
      <c r="J16" s="45" t="n"/>
      <c r="K16" s="45" t="n"/>
    </row>
    <row r="17" ht="16" customHeight="1">
      <c r="A17" s="39" t="inlineStr">
        <is>
          <t>Apr 15, 2026</t>
        </is>
      </c>
      <c r="B17" s="39" t="inlineStr">
        <is>
          <t>April 2026</t>
        </is>
      </c>
      <c r="C17" s="39" t="n"/>
      <c r="D17" s="39" t="n"/>
      <c r="E17" s="40">
        <f>IFERROR(C17-D17,0)</f>
        <v/>
      </c>
      <c r="F17" s="41">
        <f>IFERROR(D17/C17,0)</f>
        <v/>
      </c>
      <c r="G17" s="42" t="n"/>
      <c r="H17" s="43">
        <f>IFERROR(D17*G17,0)</f>
        <v/>
      </c>
      <c r="I17" s="44">
        <f>IFERROR(SUM($H$3:H17),0)</f>
        <v/>
      </c>
      <c r="J17" s="39" t="n"/>
      <c r="K17" s="39" t="n"/>
    </row>
    <row r="18" ht="16" customHeight="1">
      <c r="A18" s="45" t="inlineStr">
        <is>
          <t>Apr 16, 2026</t>
        </is>
      </c>
      <c r="B18" s="45" t="inlineStr">
        <is>
          <t>April 2026</t>
        </is>
      </c>
      <c r="C18" s="45" t="n"/>
      <c r="D18" s="45" t="n"/>
      <c r="E18" s="46">
        <f>IFERROR(C18-D18,0)</f>
        <v/>
      </c>
      <c r="F18" s="47">
        <f>IFERROR(D18/C18,0)</f>
        <v/>
      </c>
      <c r="G18" s="48" t="n"/>
      <c r="H18" s="49">
        <f>IFERROR(D18*G18,0)</f>
        <v/>
      </c>
      <c r="I18" s="50">
        <f>IFERROR(SUM($H$3:H18),0)</f>
        <v/>
      </c>
      <c r="J18" s="45" t="n"/>
      <c r="K18" s="45" t="n"/>
    </row>
    <row r="19" ht="16" customHeight="1">
      <c r="A19" s="39" t="inlineStr">
        <is>
          <t>Apr 17, 2026</t>
        </is>
      </c>
      <c r="B19" s="39" t="inlineStr">
        <is>
          <t>April 2026</t>
        </is>
      </c>
      <c r="C19" s="39" t="n"/>
      <c r="D19" s="39" t="n"/>
      <c r="E19" s="40">
        <f>IFERROR(C19-D19,0)</f>
        <v/>
      </c>
      <c r="F19" s="41">
        <f>IFERROR(D19/C19,0)</f>
        <v/>
      </c>
      <c r="G19" s="42" t="n"/>
      <c r="H19" s="43">
        <f>IFERROR(D19*G19,0)</f>
        <v/>
      </c>
      <c r="I19" s="44">
        <f>IFERROR(SUM($H$3:H19),0)</f>
        <v/>
      </c>
      <c r="J19" s="39" t="n"/>
      <c r="K19" s="39" t="n"/>
    </row>
    <row r="20" ht="16" customHeight="1">
      <c r="A20" s="45" t="inlineStr">
        <is>
          <t>Apr 18, 2026</t>
        </is>
      </c>
      <c r="B20" s="45" t="inlineStr">
        <is>
          <t>April 2026</t>
        </is>
      </c>
      <c r="C20" s="45" t="n"/>
      <c r="D20" s="45" t="n"/>
      <c r="E20" s="46">
        <f>IFERROR(C20-D20,0)</f>
        <v/>
      </c>
      <c r="F20" s="47">
        <f>IFERROR(D20/C20,0)</f>
        <v/>
      </c>
      <c r="G20" s="48" t="n"/>
      <c r="H20" s="49">
        <f>IFERROR(D20*G20,0)</f>
        <v/>
      </c>
      <c r="I20" s="50">
        <f>IFERROR(SUM($H$3:H20),0)</f>
        <v/>
      </c>
      <c r="J20" s="45" t="n"/>
      <c r="K20" s="45" t="n"/>
    </row>
    <row r="21" ht="16" customHeight="1">
      <c r="A21" s="39" t="inlineStr">
        <is>
          <t>Apr 19, 2026</t>
        </is>
      </c>
      <c r="B21" s="39" t="inlineStr">
        <is>
          <t>April 2026</t>
        </is>
      </c>
      <c r="C21" s="39" t="n"/>
      <c r="D21" s="39" t="n"/>
      <c r="E21" s="40">
        <f>IFERROR(C21-D21,0)</f>
        <v/>
      </c>
      <c r="F21" s="41">
        <f>IFERROR(D21/C21,0)</f>
        <v/>
      </c>
      <c r="G21" s="42" t="n"/>
      <c r="H21" s="43">
        <f>IFERROR(D21*G21,0)</f>
        <v/>
      </c>
      <c r="I21" s="44">
        <f>IFERROR(SUM($H$3:H21),0)</f>
        <v/>
      </c>
      <c r="J21" s="39" t="n"/>
      <c r="K21" s="39" t="n"/>
    </row>
    <row r="22" ht="16" customHeight="1">
      <c r="A22" s="45" t="inlineStr">
        <is>
          <t>Apr 20, 2026</t>
        </is>
      </c>
      <c r="B22" s="45" t="inlineStr">
        <is>
          <t>April 2026</t>
        </is>
      </c>
      <c r="C22" s="45" t="n"/>
      <c r="D22" s="45" t="n"/>
      <c r="E22" s="46">
        <f>IFERROR(C22-D22,0)</f>
        <v/>
      </c>
      <c r="F22" s="47">
        <f>IFERROR(D22/C22,0)</f>
        <v/>
      </c>
      <c r="G22" s="48" t="n"/>
      <c r="H22" s="49">
        <f>IFERROR(D22*G22,0)</f>
        <v/>
      </c>
      <c r="I22" s="50">
        <f>IFERROR(SUM($H$3:H22),0)</f>
        <v/>
      </c>
      <c r="J22" s="45" t="n"/>
      <c r="K22" s="45" t="n"/>
    </row>
    <row r="23" ht="16" customHeight="1">
      <c r="A23" s="39" t="inlineStr">
        <is>
          <t>Apr 21, 2026</t>
        </is>
      </c>
      <c r="B23" s="39" t="inlineStr">
        <is>
          <t>April 2026</t>
        </is>
      </c>
      <c r="C23" s="39" t="n"/>
      <c r="D23" s="39" t="n"/>
      <c r="E23" s="40">
        <f>IFERROR(C23-D23,0)</f>
        <v/>
      </c>
      <c r="F23" s="41">
        <f>IFERROR(D23/C23,0)</f>
        <v/>
      </c>
      <c r="G23" s="42" t="n"/>
      <c r="H23" s="43">
        <f>IFERROR(D23*G23,0)</f>
        <v/>
      </c>
      <c r="I23" s="44">
        <f>IFERROR(SUM($H$3:H23),0)</f>
        <v/>
      </c>
      <c r="J23" s="39" t="n"/>
      <c r="K23" s="39" t="n"/>
    </row>
    <row r="24" ht="16" customHeight="1">
      <c r="A24" s="45" t="inlineStr">
        <is>
          <t>Apr 22, 2026</t>
        </is>
      </c>
      <c r="B24" s="45" t="inlineStr">
        <is>
          <t>April 2026</t>
        </is>
      </c>
      <c r="C24" s="45" t="n"/>
      <c r="D24" s="45" t="n"/>
      <c r="E24" s="46">
        <f>IFERROR(C24-D24,0)</f>
        <v/>
      </c>
      <c r="F24" s="47">
        <f>IFERROR(D24/C24,0)</f>
        <v/>
      </c>
      <c r="G24" s="48" t="n"/>
      <c r="H24" s="49">
        <f>IFERROR(D24*G24,0)</f>
        <v/>
      </c>
      <c r="I24" s="50">
        <f>IFERROR(SUM($H$3:H24),0)</f>
        <v/>
      </c>
      <c r="J24" s="45" t="n"/>
      <c r="K24" s="45" t="n"/>
    </row>
    <row r="25" ht="16" customHeight="1">
      <c r="A25" s="39" t="inlineStr">
        <is>
          <t>Apr 23, 2026</t>
        </is>
      </c>
      <c r="B25" s="39" t="inlineStr">
        <is>
          <t>April 2026</t>
        </is>
      </c>
      <c r="C25" s="39" t="n"/>
      <c r="D25" s="39" t="n"/>
      <c r="E25" s="40">
        <f>IFERROR(C25-D25,0)</f>
        <v/>
      </c>
      <c r="F25" s="41">
        <f>IFERROR(D25/C25,0)</f>
        <v/>
      </c>
      <c r="G25" s="42" t="n"/>
      <c r="H25" s="43">
        <f>IFERROR(D25*G25,0)</f>
        <v/>
      </c>
      <c r="I25" s="44">
        <f>IFERROR(SUM($H$3:H25),0)</f>
        <v/>
      </c>
      <c r="J25" s="39" t="n"/>
      <c r="K25" s="39" t="n"/>
    </row>
    <row r="26" ht="16" customHeight="1">
      <c r="A26" s="45" t="inlineStr">
        <is>
          <t>Apr 24, 2026</t>
        </is>
      </c>
      <c r="B26" s="45" t="inlineStr">
        <is>
          <t>April 2026</t>
        </is>
      </c>
      <c r="C26" s="45" t="n"/>
      <c r="D26" s="45" t="n"/>
      <c r="E26" s="46">
        <f>IFERROR(C26-D26,0)</f>
        <v/>
      </c>
      <c r="F26" s="47">
        <f>IFERROR(D26/C26,0)</f>
        <v/>
      </c>
      <c r="G26" s="48" t="n"/>
      <c r="H26" s="49">
        <f>IFERROR(D26*G26,0)</f>
        <v/>
      </c>
      <c r="I26" s="50">
        <f>IFERROR(SUM($H$3:H26),0)</f>
        <v/>
      </c>
      <c r="J26" s="45" t="n"/>
      <c r="K26" s="45" t="n"/>
    </row>
    <row r="27" ht="16" customHeight="1">
      <c r="A27" s="39" t="inlineStr">
        <is>
          <t>Apr 25, 2026</t>
        </is>
      </c>
      <c r="B27" s="39" t="inlineStr">
        <is>
          <t>April 2026</t>
        </is>
      </c>
      <c r="C27" s="39" t="n"/>
      <c r="D27" s="39" t="n"/>
      <c r="E27" s="40">
        <f>IFERROR(C27-D27,0)</f>
        <v/>
      </c>
      <c r="F27" s="41">
        <f>IFERROR(D27/C27,0)</f>
        <v/>
      </c>
      <c r="G27" s="42" t="n"/>
      <c r="H27" s="43">
        <f>IFERROR(D27*G27,0)</f>
        <v/>
      </c>
      <c r="I27" s="44">
        <f>IFERROR(SUM($H$3:H27),0)</f>
        <v/>
      </c>
      <c r="J27" s="39" t="n"/>
      <c r="K27" s="39" t="n"/>
    </row>
    <row r="28" ht="16" customHeight="1">
      <c r="A28" s="45" t="inlineStr">
        <is>
          <t>Apr 26, 2026</t>
        </is>
      </c>
      <c r="B28" s="45" t="inlineStr">
        <is>
          <t>April 2026</t>
        </is>
      </c>
      <c r="C28" s="45" t="n"/>
      <c r="D28" s="45" t="n"/>
      <c r="E28" s="46">
        <f>IFERROR(C28-D28,0)</f>
        <v/>
      </c>
      <c r="F28" s="47">
        <f>IFERROR(D28/C28,0)</f>
        <v/>
      </c>
      <c r="G28" s="48" t="n"/>
      <c r="H28" s="49">
        <f>IFERROR(D28*G28,0)</f>
        <v/>
      </c>
      <c r="I28" s="50">
        <f>IFERROR(SUM($H$3:H28),0)</f>
        <v/>
      </c>
      <c r="J28" s="45" t="n"/>
      <c r="K28" s="45" t="n"/>
    </row>
    <row r="29" ht="16" customHeight="1">
      <c r="A29" s="39" t="inlineStr">
        <is>
          <t>Apr 27, 2026</t>
        </is>
      </c>
      <c r="B29" s="39" t="inlineStr">
        <is>
          <t>April 2026</t>
        </is>
      </c>
      <c r="C29" s="39" t="n"/>
      <c r="D29" s="39" t="n"/>
      <c r="E29" s="40">
        <f>IFERROR(C29-D29,0)</f>
        <v/>
      </c>
      <c r="F29" s="41">
        <f>IFERROR(D29/C29,0)</f>
        <v/>
      </c>
      <c r="G29" s="42" t="n"/>
      <c r="H29" s="43">
        <f>IFERROR(D29*G29,0)</f>
        <v/>
      </c>
      <c r="I29" s="44">
        <f>IFERROR(SUM($H$3:H29),0)</f>
        <v/>
      </c>
      <c r="J29" s="39" t="n"/>
      <c r="K29" s="39" t="n"/>
    </row>
    <row r="30" ht="16" customHeight="1">
      <c r="A30" s="45" t="inlineStr">
        <is>
          <t>Apr 28, 2026</t>
        </is>
      </c>
      <c r="B30" s="45" t="inlineStr">
        <is>
          <t>April 2026</t>
        </is>
      </c>
      <c r="C30" s="45" t="n"/>
      <c r="D30" s="45" t="n"/>
      <c r="E30" s="46">
        <f>IFERROR(C30-D30,0)</f>
        <v/>
      </c>
      <c r="F30" s="47">
        <f>IFERROR(D30/C30,0)</f>
        <v/>
      </c>
      <c r="G30" s="48" t="n"/>
      <c r="H30" s="49">
        <f>IFERROR(D30*G30,0)</f>
        <v/>
      </c>
      <c r="I30" s="50">
        <f>IFERROR(SUM($H$3:H30),0)</f>
        <v/>
      </c>
      <c r="J30" s="45" t="n"/>
      <c r="K30" s="45" t="n"/>
    </row>
    <row r="31" ht="16" customHeight="1">
      <c r="A31" s="39" t="inlineStr">
        <is>
          <t>Apr 29, 2026</t>
        </is>
      </c>
      <c r="B31" s="39" t="inlineStr">
        <is>
          <t>April 2026</t>
        </is>
      </c>
      <c r="C31" s="39" t="n"/>
      <c r="D31" s="39" t="n"/>
      <c r="E31" s="40">
        <f>IFERROR(C31-D31,0)</f>
        <v/>
      </c>
      <c r="F31" s="41">
        <f>IFERROR(D31/C31,0)</f>
        <v/>
      </c>
      <c r="G31" s="42" t="n"/>
      <c r="H31" s="43">
        <f>IFERROR(D31*G31,0)</f>
        <v/>
      </c>
      <c r="I31" s="44">
        <f>IFERROR(SUM($H$3:H31),0)</f>
        <v/>
      </c>
      <c r="J31" s="39" t="n"/>
      <c r="K31" s="39" t="n"/>
    </row>
    <row r="32" ht="16" customHeight="1">
      <c r="A32" s="45" t="inlineStr">
        <is>
          <t>Apr 30, 2026</t>
        </is>
      </c>
      <c r="B32" s="45" t="inlineStr">
        <is>
          <t>April 2026</t>
        </is>
      </c>
      <c r="C32" s="45" t="n"/>
      <c r="D32" s="45" t="n"/>
      <c r="E32" s="46">
        <f>IFERROR(C32-D32,0)</f>
        <v/>
      </c>
      <c r="F32" s="47">
        <f>IFERROR(D32/C32,0)</f>
        <v/>
      </c>
      <c r="G32" s="48" t="n"/>
      <c r="H32" s="49">
        <f>IFERROR(D32*G32,0)</f>
        <v/>
      </c>
      <c r="I32" s="50">
        <f>IFERROR(SUM($H$3:H32),0)</f>
        <v/>
      </c>
      <c r="J32" s="45" t="n"/>
      <c r="K32" s="45" t="n"/>
    </row>
    <row r="33" ht="16" customHeight="1">
      <c r="A33" s="39" t="inlineStr">
        <is>
          <t>May 01, 2026</t>
        </is>
      </c>
      <c r="B33" s="39" t="inlineStr">
        <is>
          <t>May 2026</t>
        </is>
      </c>
      <c r="C33" s="39" t="n"/>
      <c r="D33" s="39" t="n"/>
      <c r="E33" s="40">
        <f>IFERROR(C33-D33,0)</f>
        <v/>
      </c>
      <c r="F33" s="41">
        <f>IFERROR(D33/C33,0)</f>
        <v/>
      </c>
      <c r="G33" s="42" t="n"/>
      <c r="H33" s="43">
        <f>IFERROR(D33*G33,0)</f>
        <v/>
      </c>
      <c r="I33" s="44">
        <f>IFERROR(SUM($H$3:H33),0)</f>
        <v/>
      </c>
      <c r="J33" s="39" t="n"/>
      <c r="K33" s="39" t="n"/>
    </row>
    <row r="34" ht="16" customHeight="1">
      <c r="A34" s="45" t="inlineStr">
        <is>
          <t>May 02, 2026</t>
        </is>
      </c>
      <c r="B34" s="45" t="inlineStr">
        <is>
          <t>May 2026</t>
        </is>
      </c>
      <c r="C34" s="45" t="n"/>
      <c r="D34" s="45" t="n"/>
      <c r="E34" s="46">
        <f>IFERROR(C34-D34,0)</f>
        <v/>
      </c>
      <c r="F34" s="47">
        <f>IFERROR(D34/C34,0)</f>
        <v/>
      </c>
      <c r="G34" s="48" t="n"/>
      <c r="H34" s="49">
        <f>IFERROR(D34*G34,0)</f>
        <v/>
      </c>
      <c r="I34" s="50">
        <f>IFERROR(SUM($H$3:H34),0)</f>
        <v/>
      </c>
      <c r="J34" s="45" t="n"/>
      <c r="K34" s="45" t="n"/>
    </row>
    <row r="35" ht="16" customHeight="1">
      <c r="A35" s="39" t="inlineStr">
        <is>
          <t>May 03, 2026</t>
        </is>
      </c>
      <c r="B35" s="39" t="inlineStr">
        <is>
          <t>May 2026</t>
        </is>
      </c>
      <c r="C35" s="39" t="n"/>
      <c r="D35" s="39" t="n"/>
      <c r="E35" s="40">
        <f>IFERROR(C35-D35,0)</f>
        <v/>
      </c>
      <c r="F35" s="41">
        <f>IFERROR(D35/C35,0)</f>
        <v/>
      </c>
      <c r="G35" s="42" t="n"/>
      <c r="H35" s="43">
        <f>IFERROR(D35*G35,0)</f>
        <v/>
      </c>
      <c r="I35" s="44">
        <f>IFERROR(SUM($H$3:H35),0)</f>
        <v/>
      </c>
      <c r="J35" s="39" t="n"/>
      <c r="K35" s="39" t="n"/>
    </row>
    <row r="36" ht="16" customHeight="1">
      <c r="A36" s="45" t="inlineStr">
        <is>
          <t>May 04, 2026</t>
        </is>
      </c>
      <c r="B36" s="45" t="inlineStr">
        <is>
          <t>May 2026</t>
        </is>
      </c>
      <c r="C36" s="45" t="n"/>
      <c r="D36" s="45" t="n"/>
      <c r="E36" s="46">
        <f>IFERROR(C36-D36,0)</f>
        <v/>
      </c>
      <c r="F36" s="47">
        <f>IFERROR(D36/C36,0)</f>
        <v/>
      </c>
      <c r="G36" s="48" t="n"/>
      <c r="H36" s="49">
        <f>IFERROR(D36*G36,0)</f>
        <v/>
      </c>
      <c r="I36" s="50">
        <f>IFERROR(SUM($H$3:H36),0)</f>
        <v/>
      </c>
      <c r="J36" s="45" t="n"/>
      <c r="K36" s="45" t="n"/>
    </row>
    <row r="37" ht="16" customHeight="1">
      <c r="A37" s="39" t="inlineStr">
        <is>
          <t>May 05, 2026</t>
        </is>
      </c>
      <c r="B37" s="39" t="inlineStr">
        <is>
          <t>May 2026</t>
        </is>
      </c>
      <c r="C37" s="39" t="n"/>
      <c r="D37" s="39" t="n"/>
      <c r="E37" s="40">
        <f>IFERROR(C37-D37,0)</f>
        <v/>
      </c>
      <c r="F37" s="41">
        <f>IFERROR(D37/C37,0)</f>
        <v/>
      </c>
      <c r="G37" s="42" t="n"/>
      <c r="H37" s="43">
        <f>IFERROR(D37*G37,0)</f>
        <v/>
      </c>
      <c r="I37" s="44">
        <f>IFERROR(SUM($H$3:H37),0)</f>
        <v/>
      </c>
      <c r="J37" s="39" t="n"/>
      <c r="K37" s="39" t="n"/>
    </row>
    <row r="38" ht="16" customHeight="1">
      <c r="A38" s="45" t="inlineStr">
        <is>
          <t>May 06, 2026</t>
        </is>
      </c>
      <c r="B38" s="45" t="inlineStr">
        <is>
          <t>May 2026</t>
        </is>
      </c>
      <c r="C38" s="45" t="n"/>
      <c r="D38" s="45" t="n"/>
      <c r="E38" s="46">
        <f>IFERROR(C38-D38,0)</f>
        <v/>
      </c>
      <c r="F38" s="47">
        <f>IFERROR(D38/C38,0)</f>
        <v/>
      </c>
      <c r="G38" s="48" t="n"/>
      <c r="H38" s="49">
        <f>IFERROR(D38*G38,0)</f>
        <v/>
      </c>
      <c r="I38" s="50">
        <f>IFERROR(SUM($H$3:H38),0)</f>
        <v/>
      </c>
      <c r="J38" s="45" t="n"/>
      <c r="K38" s="45" t="n"/>
    </row>
    <row r="39" ht="16" customHeight="1">
      <c r="A39" s="39" t="inlineStr">
        <is>
          <t>May 07, 2026</t>
        </is>
      </c>
      <c r="B39" s="39" t="inlineStr">
        <is>
          <t>May 2026</t>
        </is>
      </c>
      <c r="C39" s="39" t="n"/>
      <c r="D39" s="39" t="n"/>
      <c r="E39" s="40">
        <f>IFERROR(C39-D39,0)</f>
        <v/>
      </c>
      <c r="F39" s="41">
        <f>IFERROR(D39/C39,0)</f>
        <v/>
      </c>
      <c r="G39" s="42" t="n"/>
      <c r="H39" s="43">
        <f>IFERROR(D39*G39,0)</f>
        <v/>
      </c>
      <c r="I39" s="44">
        <f>IFERROR(SUM($H$3:H39),0)</f>
        <v/>
      </c>
      <c r="J39" s="39" t="n"/>
      <c r="K39" s="39" t="n"/>
    </row>
    <row r="40" ht="16" customHeight="1">
      <c r="A40" s="45" t="inlineStr">
        <is>
          <t>May 08, 2026</t>
        </is>
      </c>
      <c r="B40" s="45" t="inlineStr">
        <is>
          <t>May 2026</t>
        </is>
      </c>
      <c r="C40" s="45" t="n"/>
      <c r="D40" s="45" t="n"/>
      <c r="E40" s="46">
        <f>IFERROR(C40-D40,0)</f>
        <v/>
      </c>
      <c r="F40" s="47">
        <f>IFERROR(D40/C40,0)</f>
        <v/>
      </c>
      <c r="G40" s="48" t="n"/>
      <c r="H40" s="49">
        <f>IFERROR(D40*G40,0)</f>
        <v/>
      </c>
      <c r="I40" s="50">
        <f>IFERROR(SUM($H$3:H40),0)</f>
        <v/>
      </c>
      <c r="J40" s="45" t="n"/>
      <c r="K40" s="45" t="n"/>
    </row>
    <row r="41" ht="16" customHeight="1">
      <c r="A41" s="39" t="inlineStr">
        <is>
          <t>May 09, 2026</t>
        </is>
      </c>
      <c r="B41" s="39" t="inlineStr">
        <is>
          <t>May 2026</t>
        </is>
      </c>
      <c r="C41" s="39" t="n"/>
      <c r="D41" s="39" t="n"/>
      <c r="E41" s="40">
        <f>IFERROR(C41-D41,0)</f>
        <v/>
      </c>
      <c r="F41" s="41">
        <f>IFERROR(D41/C41,0)</f>
        <v/>
      </c>
      <c r="G41" s="42" t="n"/>
      <c r="H41" s="43">
        <f>IFERROR(D41*G41,0)</f>
        <v/>
      </c>
      <c r="I41" s="44">
        <f>IFERROR(SUM($H$3:H41),0)</f>
        <v/>
      </c>
      <c r="J41" s="39" t="n"/>
      <c r="K41" s="39" t="n"/>
    </row>
    <row r="42" ht="16" customHeight="1">
      <c r="A42" s="45" t="inlineStr">
        <is>
          <t>May 10, 2026</t>
        </is>
      </c>
      <c r="B42" s="45" t="inlineStr">
        <is>
          <t>May 2026</t>
        </is>
      </c>
      <c r="C42" s="45" t="n"/>
      <c r="D42" s="45" t="n"/>
      <c r="E42" s="46">
        <f>IFERROR(C42-D42,0)</f>
        <v/>
      </c>
      <c r="F42" s="47">
        <f>IFERROR(D42/C42,0)</f>
        <v/>
      </c>
      <c r="G42" s="48" t="n"/>
      <c r="H42" s="49">
        <f>IFERROR(D42*G42,0)</f>
        <v/>
      </c>
      <c r="I42" s="50">
        <f>IFERROR(SUM($H$3:H42),0)</f>
        <v/>
      </c>
      <c r="J42" s="45" t="n"/>
      <c r="K42" s="45" t="n"/>
    </row>
    <row r="43" ht="16" customHeight="1">
      <c r="A43" s="39" t="inlineStr">
        <is>
          <t>May 11, 2026</t>
        </is>
      </c>
      <c r="B43" s="39" t="inlineStr">
        <is>
          <t>May 2026</t>
        </is>
      </c>
      <c r="C43" s="39" t="n"/>
      <c r="D43" s="39" t="n"/>
      <c r="E43" s="40">
        <f>IFERROR(C43-D43,0)</f>
        <v/>
      </c>
      <c r="F43" s="41">
        <f>IFERROR(D43/C43,0)</f>
        <v/>
      </c>
      <c r="G43" s="42" t="n"/>
      <c r="H43" s="43">
        <f>IFERROR(D43*G43,0)</f>
        <v/>
      </c>
      <c r="I43" s="44">
        <f>IFERROR(SUM($H$3:H43),0)</f>
        <v/>
      </c>
      <c r="J43" s="39" t="n"/>
      <c r="K43" s="39" t="n"/>
    </row>
    <row r="44" ht="16" customHeight="1">
      <c r="A44" s="45" t="inlineStr">
        <is>
          <t>May 12, 2026</t>
        </is>
      </c>
      <c r="B44" s="45" t="inlineStr">
        <is>
          <t>May 2026</t>
        </is>
      </c>
      <c r="C44" s="45" t="n"/>
      <c r="D44" s="45" t="n"/>
      <c r="E44" s="46">
        <f>IFERROR(C44-D44,0)</f>
        <v/>
      </c>
      <c r="F44" s="47">
        <f>IFERROR(D44/C44,0)</f>
        <v/>
      </c>
      <c r="G44" s="48" t="n"/>
      <c r="H44" s="49">
        <f>IFERROR(D44*G44,0)</f>
        <v/>
      </c>
      <c r="I44" s="50">
        <f>IFERROR(SUM($H$3:H44),0)</f>
        <v/>
      </c>
      <c r="J44" s="45" t="n"/>
      <c r="K44" s="45" t="n"/>
    </row>
    <row r="45" ht="16" customHeight="1">
      <c r="A45" s="39" t="inlineStr">
        <is>
          <t>May 13, 2026</t>
        </is>
      </c>
      <c r="B45" s="39" t="inlineStr">
        <is>
          <t>May 2026</t>
        </is>
      </c>
      <c r="C45" s="39" t="n"/>
      <c r="D45" s="39" t="n"/>
      <c r="E45" s="40">
        <f>IFERROR(C45-D45,0)</f>
        <v/>
      </c>
      <c r="F45" s="41">
        <f>IFERROR(D45/C45,0)</f>
        <v/>
      </c>
      <c r="G45" s="42" t="n"/>
      <c r="H45" s="43">
        <f>IFERROR(D45*G45,0)</f>
        <v/>
      </c>
      <c r="I45" s="44">
        <f>IFERROR(SUM($H$3:H45),0)</f>
        <v/>
      </c>
      <c r="J45" s="39" t="n"/>
      <c r="K45" s="39" t="n"/>
    </row>
    <row r="46" ht="16" customHeight="1">
      <c r="A46" s="45" t="inlineStr">
        <is>
          <t>May 14, 2026</t>
        </is>
      </c>
      <c r="B46" s="45" t="inlineStr">
        <is>
          <t>May 2026</t>
        </is>
      </c>
      <c r="C46" s="45" t="n"/>
      <c r="D46" s="45" t="n"/>
      <c r="E46" s="46">
        <f>IFERROR(C46-D46,0)</f>
        <v/>
      </c>
      <c r="F46" s="47">
        <f>IFERROR(D46/C46,0)</f>
        <v/>
      </c>
      <c r="G46" s="48" t="n"/>
      <c r="H46" s="49">
        <f>IFERROR(D46*G46,0)</f>
        <v/>
      </c>
      <c r="I46" s="50">
        <f>IFERROR(SUM($H$3:H46),0)</f>
        <v/>
      </c>
      <c r="J46" s="45" t="n"/>
      <c r="K46" s="45" t="n"/>
    </row>
    <row r="47" ht="16" customHeight="1">
      <c r="A47" s="39" t="inlineStr">
        <is>
          <t>May 15, 2026</t>
        </is>
      </c>
      <c r="B47" s="39" t="inlineStr">
        <is>
          <t>May 2026</t>
        </is>
      </c>
      <c r="C47" s="39" t="n"/>
      <c r="D47" s="39" t="n"/>
      <c r="E47" s="40">
        <f>IFERROR(C47-D47,0)</f>
        <v/>
      </c>
      <c r="F47" s="41">
        <f>IFERROR(D47/C47,0)</f>
        <v/>
      </c>
      <c r="G47" s="42" t="n"/>
      <c r="H47" s="43">
        <f>IFERROR(D47*G47,0)</f>
        <v/>
      </c>
      <c r="I47" s="44">
        <f>IFERROR(SUM($H$3:H47),0)</f>
        <v/>
      </c>
      <c r="J47" s="39" t="n"/>
      <c r="K47" s="39" t="n"/>
    </row>
    <row r="48" ht="16" customHeight="1">
      <c r="A48" s="45" t="inlineStr">
        <is>
          <t>May 16, 2026</t>
        </is>
      </c>
      <c r="B48" s="45" t="inlineStr">
        <is>
          <t>May 2026</t>
        </is>
      </c>
      <c r="C48" s="45" t="n"/>
      <c r="D48" s="45" t="n"/>
      <c r="E48" s="46">
        <f>IFERROR(C48-D48,0)</f>
        <v/>
      </c>
      <c r="F48" s="47">
        <f>IFERROR(D48/C48,0)</f>
        <v/>
      </c>
      <c r="G48" s="48" t="n"/>
      <c r="H48" s="49">
        <f>IFERROR(D48*G48,0)</f>
        <v/>
      </c>
      <c r="I48" s="50">
        <f>IFERROR(SUM($H$3:H48),0)</f>
        <v/>
      </c>
      <c r="J48" s="45" t="n"/>
      <c r="K48" s="45" t="n"/>
    </row>
    <row r="49" ht="16" customHeight="1">
      <c r="A49" s="39" t="inlineStr">
        <is>
          <t>May 17, 2026</t>
        </is>
      </c>
      <c r="B49" s="39" t="inlineStr">
        <is>
          <t>May 2026</t>
        </is>
      </c>
      <c r="C49" s="39" t="n"/>
      <c r="D49" s="39" t="n"/>
      <c r="E49" s="40">
        <f>IFERROR(C49-D49,0)</f>
        <v/>
      </c>
      <c r="F49" s="41">
        <f>IFERROR(D49/C49,0)</f>
        <v/>
      </c>
      <c r="G49" s="42" t="n"/>
      <c r="H49" s="43">
        <f>IFERROR(D49*G49,0)</f>
        <v/>
      </c>
      <c r="I49" s="44">
        <f>IFERROR(SUM($H$3:H49),0)</f>
        <v/>
      </c>
      <c r="J49" s="39" t="n"/>
      <c r="K49" s="39" t="n"/>
    </row>
    <row r="50" ht="16" customHeight="1">
      <c r="A50" s="45" t="inlineStr">
        <is>
          <t>May 18, 2026</t>
        </is>
      </c>
      <c r="B50" s="45" t="inlineStr">
        <is>
          <t>May 2026</t>
        </is>
      </c>
      <c r="C50" s="45" t="n"/>
      <c r="D50" s="45" t="n"/>
      <c r="E50" s="46">
        <f>IFERROR(C50-D50,0)</f>
        <v/>
      </c>
      <c r="F50" s="47">
        <f>IFERROR(D50/C50,0)</f>
        <v/>
      </c>
      <c r="G50" s="48" t="n"/>
      <c r="H50" s="49">
        <f>IFERROR(D50*G50,0)</f>
        <v/>
      </c>
      <c r="I50" s="50">
        <f>IFERROR(SUM($H$3:H50),0)</f>
        <v/>
      </c>
      <c r="J50" s="45" t="n"/>
      <c r="K50" s="45" t="n"/>
    </row>
    <row r="51" ht="16" customHeight="1">
      <c r="A51" s="39" t="inlineStr">
        <is>
          <t>May 19, 2026</t>
        </is>
      </c>
      <c r="B51" s="39" t="inlineStr">
        <is>
          <t>May 2026</t>
        </is>
      </c>
      <c r="C51" s="39" t="n"/>
      <c r="D51" s="39" t="n"/>
      <c r="E51" s="40">
        <f>IFERROR(C51-D51,0)</f>
        <v/>
      </c>
      <c r="F51" s="41">
        <f>IFERROR(D51/C51,0)</f>
        <v/>
      </c>
      <c r="G51" s="42" t="n"/>
      <c r="H51" s="43">
        <f>IFERROR(D51*G51,0)</f>
        <v/>
      </c>
      <c r="I51" s="44">
        <f>IFERROR(SUM($H$3:H51),0)</f>
        <v/>
      </c>
      <c r="J51" s="39" t="n"/>
      <c r="K51" s="39" t="n"/>
    </row>
    <row r="52" ht="16" customHeight="1">
      <c r="A52" s="45" t="inlineStr">
        <is>
          <t>May 20, 2026</t>
        </is>
      </c>
      <c r="B52" s="45" t="inlineStr">
        <is>
          <t>May 2026</t>
        </is>
      </c>
      <c r="C52" s="45" t="n"/>
      <c r="D52" s="45" t="n"/>
      <c r="E52" s="46">
        <f>IFERROR(C52-D52,0)</f>
        <v/>
      </c>
      <c r="F52" s="47">
        <f>IFERROR(D52/C52,0)</f>
        <v/>
      </c>
      <c r="G52" s="48" t="n"/>
      <c r="H52" s="49">
        <f>IFERROR(D52*G52,0)</f>
        <v/>
      </c>
      <c r="I52" s="50">
        <f>IFERROR(SUM($H$3:H52),0)</f>
        <v/>
      </c>
      <c r="J52" s="45" t="n"/>
      <c r="K52" s="45" t="n"/>
    </row>
    <row r="53" ht="16" customHeight="1">
      <c r="A53" s="39" t="inlineStr">
        <is>
          <t>May 21, 2026</t>
        </is>
      </c>
      <c r="B53" s="39" t="inlineStr">
        <is>
          <t>May 2026</t>
        </is>
      </c>
      <c r="C53" s="39" t="n"/>
      <c r="D53" s="39" t="n"/>
      <c r="E53" s="40">
        <f>IFERROR(C53-D53,0)</f>
        <v/>
      </c>
      <c r="F53" s="41">
        <f>IFERROR(D53/C53,0)</f>
        <v/>
      </c>
      <c r="G53" s="42" t="n"/>
      <c r="H53" s="43">
        <f>IFERROR(D53*G53,0)</f>
        <v/>
      </c>
      <c r="I53" s="44">
        <f>IFERROR(SUM($H$3:H53),0)</f>
        <v/>
      </c>
      <c r="J53" s="39" t="n"/>
      <c r="K53" s="39" t="n"/>
    </row>
    <row r="54" ht="16" customHeight="1">
      <c r="A54" s="45" t="inlineStr">
        <is>
          <t>May 22, 2026</t>
        </is>
      </c>
      <c r="B54" s="45" t="inlineStr">
        <is>
          <t>May 2026</t>
        </is>
      </c>
      <c r="C54" s="45" t="n"/>
      <c r="D54" s="45" t="n"/>
      <c r="E54" s="46">
        <f>IFERROR(C54-D54,0)</f>
        <v/>
      </c>
      <c r="F54" s="47">
        <f>IFERROR(D54/C54,0)</f>
        <v/>
      </c>
      <c r="G54" s="48" t="n"/>
      <c r="H54" s="49">
        <f>IFERROR(D54*G54,0)</f>
        <v/>
      </c>
      <c r="I54" s="50">
        <f>IFERROR(SUM($H$3:H54),0)</f>
        <v/>
      </c>
      <c r="J54" s="45" t="n"/>
      <c r="K54" s="45" t="n"/>
    </row>
    <row r="55" ht="16" customHeight="1">
      <c r="A55" s="39" t="inlineStr">
        <is>
          <t>May 23, 2026</t>
        </is>
      </c>
      <c r="B55" s="39" t="inlineStr">
        <is>
          <t>May 2026</t>
        </is>
      </c>
      <c r="C55" s="39" t="n"/>
      <c r="D55" s="39" t="n"/>
      <c r="E55" s="40">
        <f>IFERROR(C55-D55,0)</f>
        <v/>
      </c>
      <c r="F55" s="41">
        <f>IFERROR(D55/C55,0)</f>
        <v/>
      </c>
      <c r="G55" s="42" t="n"/>
      <c r="H55" s="43">
        <f>IFERROR(D55*G55,0)</f>
        <v/>
      </c>
      <c r="I55" s="44">
        <f>IFERROR(SUM($H$3:H55),0)</f>
        <v/>
      </c>
      <c r="J55" s="39" t="n"/>
      <c r="K55" s="39" t="n"/>
    </row>
    <row r="56" ht="16" customHeight="1">
      <c r="A56" s="45" t="inlineStr">
        <is>
          <t>May 24, 2026</t>
        </is>
      </c>
      <c r="B56" s="45" t="inlineStr">
        <is>
          <t>May 2026</t>
        </is>
      </c>
      <c r="C56" s="45" t="n"/>
      <c r="D56" s="45" t="n"/>
      <c r="E56" s="46">
        <f>IFERROR(C56-D56,0)</f>
        <v/>
      </c>
      <c r="F56" s="47">
        <f>IFERROR(D56/C56,0)</f>
        <v/>
      </c>
      <c r="G56" s="48" t="n"/>
      <c r="H56" s="49">
        <f>IFERROR(D56*G56,0)</f>
        <v/>
      </c>
      <c r="I56" s="50">
        <f>IFERROR(SUM($H$3:H56),0)</f>
        <v/>
      </c>
      <c r="J56" s="45" t="n"/>
      <c r="K56" s="45" t="n"/>
    </row>
    <row r="57" ht="16" customHeight="1">
      <c r="A57" s="39" t="inlineStr">
        <is>
          <t>May 25, 2026</t>
        </is>
      </c>
      <c r="B57" s="39" t="inlineStr">
        <is>
          <t>May 2026</t>
        </is>
      </c>
      <c r="C57" s="39" t="n"/>
      <c r="D57" s="39" t="n"/>
      <c r="E57" s="40">
        <f>IFERROR(C57-D57,0)</f>
        <v/>
      </c>
      <c r="F57" s="41">
        <f>IFERROR(D57/C57,0)</f>
        <v/>
      </c>
      <c r="G57" s="42" t="n"/>
      <c r="H57" s="43">
        <f>IFERROR(D57*G57,0)</f>
        <v/>
      </c>
      <c r="I57" s="44">
        <f>IFERROR(SUM($H$3:H57),0)</f>
        <v/>
      </c>
      <c r="J57" s="39" t="n"/>
      <c r="K57" s="39" t="n"/>
    </row>
    <row r="58" ht="16" customHeight="1">
      <c r="A58" s="45" t="inlineStr">
        <is>
          <t>May 26, 2026</t>
        </is>
      </c>
      <c r="B58" s="45" t="inlineStr">
        <is>
          <t>May 2026</t>
        </is>
      </c>
      <c r="C58" s="45" t="n"/>
      <c r="D58" s="45" t="n"/>
      <c r="E58" s="46">
        <f>IFERROR(C58-D58,0)</f>
        <v/>
      </c>
      <c r="F58" s="47">
        <f>IFERROR(D58/C58,0)</f>
        <v/>
      </c>
      <c r="G58" s="48" t="n"/>
      <c r="H58" s="49">
        <f>IFERROR(D58*G58,0)</f>
        <v/>
      </c>
      <c r="I58" s="50">
        <f>IFERROR(SUM($H$3:H58),0)</f>
        <v/>
      </c>
      <c r="J58" s="45" t="n"/>
      <c r="K58" s="45" t="n"/>
    </row>
    <row r="59" ht="16" customHeight="1">
      <c r="A59" s="39" t="inlineStr">
        <is>
          <t>May 27, 2026</t>
        </is>
      </c>
      <c r="B59" s="39" t="inlineStr">
        <is>
          <t>May 2026</t>
        </is>
      </c>
      <c r="C59" s="39" t="n"/>
      <c r="D59" s="39" t="n"/>
      <c r="E59" s="40">
        <f>IFERROR(C59-D59,0)</f>
        <v/>
      </c>
      <c r="F59" s="41">
        <f>IFERROR(D59/C59,0)</f>
        <v/>
      </c>
      <c r="G59" s="42" t="n"/>
      <c r="H59" s="43">
        <f>IFERROR(D59*G59,0)</f>
        <v/>
      </c>
      <c r="I59" s="44">
        <f>IFERROR(SUM($H$3:H59),0)</f>
        <v/>
      </c>
      <c r="J59" s="39" t="n"/>
      <c r="K59" s="39" t="n"/>
    </row>
    <row r="60" ht="16" customHeight="1">
      <c r="A60" s="45" t="inlineStr">
        <is>
          <t>May 28, 2026</t>
        </is>
      </c>
      <c r="B60" s="45" t="inlineStr">
        <is>
          <t>May 2026</t>
        </is>
      </c>
      <c r="C60" s="45" t="n"/>
      <c r="D60" s="45" t="n"/>
      <c r="E60" s="46">
        <f>IFERROR(C60-D60,0)</f>
        <v/>
      </c>
      <c r="F60" s="47">
        <f>IFERROR(D60/C60,0)</f>
        <v/>
      </c>
      <c r="G60" s="48" t="n"/>
      <c r="H60" s="49">
        <f>IFERROR(D60*G60,0)</f>
        <v/>
      </c>
      <c r="I60" s="50">
        <f>IFERROR(SUM($H$3:H60),0)</f>
        <v/>
      </c>
      <c r="J60" s="45" t="n"/>
      <c r="K60" s="45" t="n"/>
    </row>
    <row r="61" ht="16" customHeight="1">
      <c r="A61" s="39" t="inlineStr">
        <is>
          <t>May 29, 2026</t>
        </is>
      </c>
      <c r="B61" s="39" t="inlineStr">
        <is>
          <t>May 2026</t>
        </is>
      </c>
      <c r="C61" s="39" t="n"/>
      <c r="D61" s="39" t="n"/>
      <c r="E61" s="40">
        <f>IFERROR(C61-D61,0)</f>
        <v/>
      </c>
      <c r="F61" s="41">
        <f>IFERROR(D61/C61,0)</f>
        <v/>
      </c>
      <c r="G61" s="42" t="n"/>
      <c r="H61" s="43">
        <f>IFERROR(D61*G61,0)</f>
        <v/>
      </c>
      <c r="I61" s="44">
        <f>IFERROR(SUM($H$3:H61),0)</f>
        <v/>
      </c>
      <c r="J61" s="39" t="n"/>
      <c r="K61" s="39" t="n"/>
    </row>
    <row r="62" ht="16" customHeight="1">
      <c r="A62" s="45" t="inlineStr">
        <is>
          <t>May 30, 2026</t>
        </is>
      </c>
      <c r="B62" s="45" t="inlineStr">
        <is>
          <t>May 2026</t>
        </is>
      </c>
      <c r="C62" s="45" t="n"/>
      <c r="D62" s="45" t="n"/>
      <c r="E62" s="46">
        <f>IFERROR(C62-D62,0)</f>
        <v/>
      </c>
      <c r="F62" s="47">
        <f>IFERROR(D62/C62,0)</f>
        <v/>
      </c>
      <c r="G62" s="48" t="n"/>
      <c r="H62" s="49">
        <f>IFERROR(D62*G62,0)</f>
        <v/>
      </c>
      <c r="I62" s="50">
        <f>IFERROR(SUM($H$3:H62),0)</f>
        <v/>
      </c>
      <c r="J62" s="45" t="n"/>
      <c r="K62" s="45" t="n"/>
    </row>
    <row r="63" ht="16" customHeight="1">
      <c r="A63" s="39" t="inlineStr">
        <is>
          <t>May 31, 2026</t>
        </is>
      </c>
      <c r="B63" s="39" t="inlineStr">
        <is>
          <t>May 2026</t>
        </is>
      </c>
      <c r="C63" s="39" t="n"/>
      <c r="D63" s="39" t="n"/>
      <c r="E63" s="40">
        <f>IFERROR(C63-D63,0)</f>
        <v/>
      </c>
      <c r="F63" s="41">
        <f>IFERROR(D63/C63,0)</f>
        <v/>
      </c>
      <c r="G63" s="42" t="n"/>
      <c r="H63" s="43">
        <f>IFERROR(D63*G63,0)</f>
        <v/>
      </c>
      <c r="I63" s="44">
        <f>IFERROR(SUM($H$3:H63),0)</f>
        <v/>
      </c>
      <c r="J63" s="39" t="n"/>
      <c r="K63" s="39" t="n"/>
    </row>
    <row r="64" ht="16" customHeight="1">
      <c r="A64" s="45" t="inlineStr">
        <is>
          <t>Jun 01, 2026</t>
        </is>
      </c>
      <c r="B64" s="45" t="inlineStr">
        <is>
          <t>June 2026</t>
        </is>
      </c>
      <c r="C64" s="45" t="n"/>
      <c r="D64" s="45" t="n"/>
      <c r="E64" s="46">
        <f>IFERROR(C64-D64,0)</f>
        <v/>
      </c>
      <c r="F64" s="47">
        <f>IFERROR(D64/C64,0)</f>
        <v/>
      </c>
      <c r="G64" s="48" t="n"/>
      <c r="H64" s="49">
        <f>IFERROR(D64*G64,0)</f>
        <v/>
      </c>
      <c r="I64" s="50">
        <f>IFERROR(SUM($H$3:H64),0)</f>
        <v/>
      </c>
      <c r="J64" s="45" t="n"/>
      <c r="K64" s="45" t="n"/>
    </row>
    <row r="65" ht="16" customHeight="1">
      <c r="A65" s="39" t="inlineStr">
        <is>
          <t>Jun 02, 2026</t>
        </is>
      </c>
      <c r="B65" s="39" t="inlineStr">
        <is>
          <t>June 2026</t>
        </is>
      </c>
      <c r="C65" s="39" t="n"/>
      <c r="D65" s="39" t="n"/>
      <c r="E65" s="40">
        <f>IFERROR(C65-D65,0)</f>
        <v/>
      </c>
      <c r="F65" s="41">
        <f>IFERROR(D65/C65,0)</f>
        <v/>
      </c>
      <c r="G65" s="42" t="n"/>
      <c r="H65" s="43">
        <f>IFERROR(D65*G65,0)</f>
        <v/>
      </c>
      <c r="I65" s="44">
        <f>IFERROR(SUM($H$3:H65),0)</f>
        <v/>
      </c>
      <c r="J65" s="39" t="n"/>
      <c r="K65" s="39" t="n"/>
    </row>
    <row r="66" ht="22" customHeight="1">
      <c r="A66" s="32" t="inlineStr">
        <is>
          <t>TOTALS</t>
        </is>
      </c>
      <c r="C66" s="33">
        <f>SUM(C3:C65)</f>
        <v/>
      </c>
      <c r="D66" s="33">
        <f>SUM(D3:D65)</f>
        <v/>
      </c>
      <c r="E66" s="33">
        <f>SUM(E3:E65)</f>
        <v/>
      </c>
      <c r="F66" s="34">
        <f>IFERROR(D66/C66,0)</f>
        <v/>
      </c>
      <c r="G66" s="36" t="n"/>
      <c r="H66" s="35">
        <f>SUM(H3:H65)</f>
        <v/>
      </c>
      <c r="I66" s="36" t="n"/>
      <c r="J66" s="36" t="n"/>
      <c r="K66" s="36" t="n"/>
    </row>
  </sheetData>
  <mergeCells count="2">
    <mergeCell ref="A1:K1"/>
    <mergeCell ref="A66:B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6" customWidth="1" min="7" max="7"/>
    <col width="20" customWidth="1" min="8" max="8"/>
    <col width="24" customWidth="1" min="9" max="9"/>
  </cols>
  <sheetData>
    <row r="1" ht="28" customHeight="1">
      <c r="A1" s="38" t="inlineStr">
        <is>
          <t>MODERNIZE  •  Lead Disposition — Accepted vs Rejected</t>
        </is>
      </c>
    </row>
    <row r="2" ht="16" customHeight="1">
      <c r="A2" s="2" t="inlineStr">
        <is>
          <t>Track why leads were rejected to identify quality issues and dispute patterns</t>
        </is>
      </c>
    </row>
    <row r="3" ht="36" customHeight="1">
      <c r="A3" s="8" t="inlineStr">
        <is>
          <t>Date</t>
        </is>
      </c>
      <c r="B3" s="8" t="inlineStr">
        <is>
          <t>Month</t>
        </is>
      </c>
      <c r="C3" s="8" t="inlineStr">
        <is>
          <t>Lead ID /
Ref #</t>
        </is>
      </c>
      <c r="D3" s="8" t="inlineStr">
        <is>
          <t>Lead Name
(if available)</t>
        </is>
      </c>
      <c r="E3" s="8" t="inlineStr">
        <is>
          <t>Disposition</t>
        </is>
      </c>
      <c r="F3" s="8" t="inlineStr">
        <is>
          <t>CPL ($)</t>
        </is>
      </c>
      <c r="G3" s="8" t="inlineStr">
        <is>
          <t>Revenue
Impact ($)</t>
        </is>
      </c>
      <c r="H3" s="8" t="inlineStr">
        <is>
          <t>Rejection
Reason</t>
        </is>
      </c>
      <c r="I3" s="8" t="inlineStr">
        <is>
          <t>Notes / Disputed?</t>
        </is>
      </c>
    </row>
    <row r="4" ht="18" customHeight="1">
      <c r="A4" s="39" t="inlineStr">
        <is>
          <t>Apr 01, 2026</t>
        </is>
      </c>
      <c r="B4" s="39" t="inlineStr">
        <is>
          <t>April 2026</t>
        </is>
      </c>
      <c r="C4" s="39" t="inlineStr">
        <is>
          <t>MOD-001</t>
        </is>
      </c>
      <c r="D4" s="39" t="inlineStr">
        <is>
          <t>[Contact Name]</t>
        </is>
      </c>
      <c r="E4" s="51" t="inlineStr">
        <is>
          <t>Accepted</t>
        </is>
      </c>
      <c r="F4" s="42" t="inlineStr"/>
      <c r="G4" s="42">
        <f>IF(E4="Accepted",F4,0)</f>
        <v/>
      </c>
      <c r="H4" s="39" t="inlineStr"/>
      <c r="I4" s="39" t="inlineStr"/>
    </row>
    <row r="5" ht="18" customHeight="1">
      <c r="A5" s="45" t="inlineStr">
        <is>
          <t>Apr 01, 2026</t>
        </is>
      </c>
      <c r="B5" s="45" t="inlineStr">
        <is>
          <t>April 2026</t>
        </is>
      </c>
      <c r="C5" s="45" t="inlineStr">
        <is>
          <t>MOD-002</t>
        </is>
      </c>
      <c r="D5" s="45" t="inlineStr">
        <is>
          <t>[Contact Name]</t>
        </is>
      </c>
      <c r="E5" s="52" t="inlineStr">
        <is>
          <t>Rejected</t>
        </is>
      </c>
      <c r="F5" s="48" t="inlineStr"/>
      <c r="G5" s="48">
        <f>IF(E5="Accepted",F5,0)</f>
        <v/>
      </c>
      <c r="H5" s="45" t="inlineStr">
        <is>
          <t>Duplicate</t>
        </is>
      </c>
      <c r="I5" s="45" t="inlineStr">
        <is>
          <t>Will dispute</t>
        </is>
      </c>
    </row>
    <row r="6" ht="18" customHeight="1">
      <c r="A6" s="39" t="inlineStr">
        <is>
          <t>Apr 01, 2026</t>
        </is>
      </c>
      <c r="B6" s="39" t="inlineStr">
        <is>
          <t>April 2026</t>
        </is>
      </c>
      <c r="C6" s="39" t="inlineStr">
        <is>
          <t>MOD-003</t>
        </is>
      </c>
      <c r="D6" s="39" t="inlineStr">
        <is>
          <t>[Contact Name]</t>
        </is>
      </c>
      <c r="E6" s="51" t="inlineStr">
        <is>
          <t>Accepted</t>
        </is>
      </c>
      <c r="F6" s="42" t="inlineStr"/>
      <c r="G6" s="42">
        <f>IF(E6="Accepted",F6,0)</f>
        <v/>
      </c>
      <c r="H6" s="39" t="inlineStr"/>
      <c r="I6" s="3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 ht="28" customHeight="1">
      <c r="A1" s="38" t="inlineStr">
        <is>
          <t>MODERNIZE  •  Invoice &amp; Payment Tracker</t>
        </is>
      </c>
    </row>
    <row r="2" ht="8" customHeight="1"/>
    <row r="3" ht="36" customHeight="1">
      <c r="A3" s="8" t="inlineStr">
        <is>
          <t>Invoice #</t>
        </is>
      </c>
      <c r="B3" s="8" t="inlineStr">
        <is>
          <t>Period Covered</t>
        </is>
      </c>
      <c r="C3" s="8" t="inlineStr">
        <is>
          <t>Leads
Submitted</t>
        </is>
      </c>
      <c r="D3" s="8" t="inlineStr">
        <is>
          <t>Leads
Accepted</t>
        </is>
      </c>
      <c r="E3" s="8" t="inlineStr">
        <is>
          <t>Acceptance
Rate</t>
        </is>
      </c>
      <c r="F3" s="8" t="inlineStr">
        <is>
          <t>CPL ($)</t>
        </is>
      </c>
      <c r="G3" s="8" t="inlineStr">
        <is>
          <t>Invoice
Amount ($)</t>
        </is>
      </c>
      <c r="H3" s="8" t="inlineStr">
        <is>
          <t>Invoice Date</t>
        </is>
      </c>
      <c r="I3" s="8" t="inlineStr">
        <is>
          <t>Due Date</t>
        </is>
      </c>
      <c r="J3" s="8" t="inlineStr">
        <is>
          <t>Amount
Collected ($)</t>
        </is>
      </c>
      <c r="K3" s="8" t="inlineStr">
        <is>
          <t>Status</t>
        </is>
      </c>
    </row>
    <row r="4" ht="24" customHeight="1">
      <c r="A4" s="53" t="inlineStr">
        <is>
          <t>INV-MOD-001</t>
        </is>
      </c>
      <c r="B4" s="54" t="inlineStr">
        <is>
          <t>Apr 1 – Apr 30, 2026</t>
        </is>
      </c>
      <c r="C4" s="55" t="n"/>
      <c r="D4" s="55" t="n"/>
      <c r="E4" s="56">
        <f>IFERROR(D4/C4,0)</f>
        <v/>
      </c>
      <c r="F4" s="57" t="n"/>
      <c r="G4" s="17">
        <f>IFERROR(D4*F4,0)</f>
        <v/>
      </c>
      <c r="H4" s="55" t="inlineStr">
        <is>
          <t>TBD</t>
        </is>
      </c>
      <c r="I4" s="55" t="inlineStr">
        <is>
          <t>TBD</t>
        </is>
      </c>
      <c r="J4" s="57" t="n"/>
      <c r="K4" s="58" t="inlineStr">
        <is>
          <t>Awaiting Confirmation</t>
        </is>
      </c>
    </row>
    <row r="5" ht="24" customHeight="1">
      <c r="A5" s="59" t="inlineStr">
        <is>
          <t>INV-MOD-002</t>
        </is>
      </c>
      <c r="B5" s="60" t="inlineStr">
        <is>
          <t>May 1 – May 31, 2026</t>
        </is>
      </c>
      <c r="C5" s="61" t="n"/>
      <c r="D5" s="61" t="n"/>
      <c r="E5" s="62">
        <f>IFERROR(D5/C5,0)</f>
        <v/>
      </c>
      <c r="F5" s="63" t="n"/>
      <c r="G5" s="28">
        <f>IFERROR(D5*F5,0)</f>
        <v/>
      </c>
      <c r="H5" s="61" t="inlineStr">
        <is>
          <t>TBD</t>
        </is>
      </c>
      <c r="I5" s="61" t="inlineStr">
        <is>
          <t>TBD</t>
        </is>
      </c>
      <c r="J5" s="63" t="n"/>
      <c r="K5" s="64" t="inlineStr">
        <is>
          <t>Awaiting Confirmation</t>
        </is>
      </c>
    </row>
    <row r="6" ht="24" customHeight="1">
      <c r="A6" s="53" t="inlineStr">
        <is>
          <t>INV-MOD-003</t>
        </is>
      </c>
      <c r="B6" s="54" t="inlineStr">
        <is>
          <t>Jun 1 – Jun 2, 2026</t>
        </is>
      </c>
      <c r="C6" s="55" t="n"/>
      <c r="D6" s="55" t="n"/>
      <c r="E6" s="56">
        <f>IFERROR(D6/C6,0)</f>
        <v/>
      </c>
      <c r="F6" s="57" t="n"/>
      <c r="G6" s="17">
        <f>IFERROR(D6*F6,0)</f>
        <v/>
      </c>
      <c r="H6" s="55" t="inlineStr">
        <is>
          <t>TBD</t>
        </is>
      </c>
      <c r="I6" s="55" t="inlineStr">
        <is>
          <t>TBD</t>
        </is>
      </c>
      <c r="J6" s="57" t="n"/>
      <c r="K6" s="53" t="inlineStr">
        <is>
          <t>In Progress</t>
        </is>
      </c>
    </row>
    <row r="7" ht="22" customHeight="1">
      <c r="A7" s="32" t="inlineStr">
        <is>
          <t>TOTALS</t>
        </is>
      </c>
      <c r="C7" s="33">
        <f>SUM(C4:C6)</f>
        <v/>
      </c>
      <c r="D7" s="33">
        <f>SUM(D4:D6)</f>
        <v/>
      </c>
      <c r="E7" s="36" t="n"/>
      <c r="F7" s="36" t="n"/>
      <c r="G7" s="35">
        <f>SUM(G4:G6)</f>
        <v/>
      </c>
      <c r="H7" s="36" t="n"/>
      <c r="I7" s="36" t="n"/>
      <c r="J7" s="35">
        <f>SUM(J4:J6)</f>
        <v/>
      </c>
      <c r="K7" s="36" t="n"/>
    </row>
  </sheetData>
  <mergeCells count="2">
    <mergeCell ref="A1:K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2026-06-02T06:24:53Z</dcterms:created>
  <dcterms:modified xsi:type="dcterms:W3CDTF">2026-06-02T06:24:53Z</dcterms:modified>
</cp:coreProperties>
</file>